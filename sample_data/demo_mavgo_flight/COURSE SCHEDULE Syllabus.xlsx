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l 2023 Calc 2 Schedule" sheetId="1" r:id="rId4"/>
    <sheet state="visible" name="Fall 2023 Calc 2 Schedule Corre" sheetId="2" r:id="rId5"/>
    <sheet state="visible" name="Simpson U Fall 2023 Corrected" sheetId="3" r:id="rId6"/>
    <sheet state="visible" name="Cal Construction" sheetId="4" r:id="rId7"/>
    <sheet state="visible" name="Topics" sheetId="5" r:id="rId8"/>
    <sheet state="visible" name="Previous Schedule" sheetId="6" r:id="rId9"/>
    <sheet state="visible" name="Class Date List Mon Wed Thu Fri" sheetId="7" r:id="rId10"/>
    <sheet state="visible" name="Simpson U Fall 2023" sheetId="8" r:id="rId11"/>
  </sheets>
  <definedNames>
    <definedName hidden="1" localSheetId="3" name="_xlnm._FilterDatabase">'Cal Construction'!$D$1:$D$975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43">
      <text>
        <t xml:space="preserve">Is it okay to include polar arc length today?
	-Darian Hickman</t>
      </text>
    </comment>
  </commentList>
</comments>
</file>

<file path=xl/sharedStrings.xml><?xml version="1.0" encoding="utf-8"?>
<sst xmlns="http://schemas.openxmlformats.org/spreadsheetml/2006/main" count="672" uniqueCount="187">
  <si>
    <t>Date</t>
  </si>
  <si>
    <t>Class Schedule</t>
  </si>
  <si>
    <t>School Wide Event</t>
  </si>
  <si>
    <t>Calc 2 Schedule</t>
  </si>
  <si>
    <t>First-year students and transfers arrive</t>
  </si>
  <si>
    <t>Returning students arrive</t>
  </si>
  <si>
    <t>Registration Day</t>
  </si>
  <si>
    <t>Classes begin</t>
  </si>
  <si>
    <t>All-College Convocation</t>
  </si>
  <si>
    <t>Review of Derivatives</t>
  </si>
  <si>
    <t>Labor Day: Regular class day</t>
  </si>
  <si>
    <t>Last day to add/drop</t>
  </si>
  <si>
    <t>Review of Integrals and Limits</t>
  </si>
  <si>
    <t>Q &amp; A / Extra Credit 11:20 - 12:20</t>
  </si>
  <si>
    <t>4.5 u-substitutions</t>
  </si>
  <si>
    <t>4.5 u-substitutions continued</t>
  </si>
  <si>
    <t>5.1 Area between curves</t>
  </si>
  <si>
    <t>5.2 Volumes with discs and washers</t>
  </si>
  <si>
    <t>5.3 Volumes with shells</t>
  </si>
  <si>
    <t>7.1 Integration by parts</t>
  </si>
  <si>
    <t>Q &amp; A / Extra Credit 11:20 - 12:20 SS209</t>
  </si>
  <si>
    <t>7.2 Trig integrals</t>
  </si>
  <si>
    <t>7.2 More trig integrals</t>
  </si>
  <si>
    <t>7.3 Trig substitutions</t>
  </si>
  <si>
    <t>7.4 Partial Fractions and Inverse Tan integrals</t>
  </si>
  <si>
    <t>7.5 Integration Strategies</t>
  </si>
  <si>
    <t>Exam 1 Review</t>
  </si>
  <si>
    <t>EXAM 1</t>
  </si>
  <si>
    <t>7.6 &amp; 7.8 Tables and improper integrals</t>
  </si>
  <si>
    <t>7.8 Improper integrals continued</t>
  </si>
  <si>
    <t>8.1 Arc length</t>
  </si>
  <si>
    <t>Family Weekend/Homecoming</t>
  </si>
  <si>
    <t>8.2 Surface area</t>
  </si>
  <si>
    <t>Is there something specific to achieve before Mid Term Grades</t>
  </si>
  <si>
    <t>8.5 Probability</t>
  </si>
  <si>
    <t>Mid-Term Grades Due</t>
  </si>
  <si>
    <t>Fall Break, No Classes</t>
  </si>
  <si>
    <t>9.3 Separable differential equations</t>
  </si>
  <si>
    <t>10.1 Parametric equations</t>
  </si>
  <si>
    <t>10.2 Calculus with parametric equations</t>
  </si>
  <si>
    <t>10.3 Polar coordinates</t>
  </si>
  <si>
    <t>Exam 2 Review</t>
  </si>
  <si>
    <t>EXAM 2, Last day to withdraw</t>
  </si>
  <si>
    <t>EXAM 2</t>
  </si>
  <si>
    <t>Last day to withdraw</t>
  </si>
  <si>
    <t>10.4 Areas with polar coordinates</t>
  </si>
  <si>
    <t>11.1 Sequences</t>
  </si>
  <si>
    <t>11.2 Series</t>
  </si>
  <si>
    <t>11.3 Integral test</t>
  </si>
  <si>
    <t>11.4 Comparison tests</t>
  </si>
  <si>
    <t>11.5 Alternating series test</t>
  </si>
  <si>
    <t>11.6 Ratio test</t>
  </si>
  <si>
    <t>11.7 Strategies</t>
  </si>
  <si>
    <t>Thanksgiving Break</t>
  </si>
  <si>
    <t>Exam 3 Review</t>
  </si>
  <si>
    <t>tests of converging</t>
  </si>
  <si>
    <t>EXAM 3</t>
  </si>
  <si>
    <t>Final Review</t>
  </si>
  <si>
    <t>i added an additional day of review since final exam week is next week</t>
  </si>
  <si>
    <t>Last Day of Classes</t>
  </si>
  <si>
    <t>College Reading Day</t>
  </si>
  <si>
    <t>Final Exam Week
*Dec. 15 Snow Make up Day</t>
  </si>
  <si>
    <t>FINAL EXAM</t>
  </si>
  <si>
    <t>December Commencement</t>
  </si>
  <si>
    <t>Christmas Recess Begins</t>
  </si>
  <si>
    <t>All Fall Grades Due</t>
  </si>
  <si>
    <t>date</t>
  </si>
  <si>
    <t>agenda</t>
  </si>
  <si>
    <t>Q &amp; A / Extra Credit 11:20 - 12:20 Owens 209</t>
  </si>
  <si>
    <t>Last Day to Register</t>
  </si>
  <si>
    <t>Convocation</t>
  </si>
  <si>
    <t>Last Day to Add</t>
  </si>
  <si>
    <t>Last Day to Drop</t>
  </si>
  <si>
    <t xml:space="preserve">7.4 Partial Fractions </t>
  </si>
  <si>
    <t>Midterm Grades Due</t>
  </si>
  <si>
    <t>Day of Shalom, No Class</t>
  </si>
  <si>
    <t>Last Day to Withdraw</t>
  </si>
  <si>
    <t>VETERANS DAY 
(Day classes cancelled)</t>
  </si>
  <si>
    <t>Alpha Sigma Lambda Induction Ceremony 
(DC)</t>
  </si>
  <si>
    <t>SON Blessing of the 
Hands Ceremony</t>
  </si>
  <si>
    <t>Final Exam</t>
  </si>
  <si>
    <t>Finals Week</t>
  </si>
  <si>
    <t>Semester Ends</t>
  </si>
  <si>
    <t>Winter Break Starts</t>
  </si>
  <si>
    <t>Final Grades Due</t>
  </si>
  <si>
    <t>event</t>
  </si>
  <si>
    <t>day of week</t>
  </si>
  <si>
    <t>FALL 2023</t>
  </si>
  <si>
    <t>Semester Begins</t>
  </si>
  <si>
    <t>Day of Shalom</t>
  </si>
  <si>
    <t>Nursing Pinning 
Ceremony</t>
  </si>
  <si>
    <t>Preterm Deadline for Course Cancellations</t>
  </si>
  <si>
    <t>source</t>
  </si>
  <si>
    <t>topic order</t>
  </si>
  <si>
    <t>ask Michael</t>
  </si>
  <si>
    <t>date list</t>
  </si>
  <si>
    <t>previous class topics and sequence</t>
  </si>
  <si>
    <t>new this year</t>
  </si>
  <si>
    <t>simpson u cal</t>
  </si>
  <si>
    <t>?</t>
  </si>
  <si>
    <t>week</t>
  </si>
  <si>
    <t>order</t>
  </si>
  <si>
    <t>class content</t>
  </si>
  <si>
    <t>WEEK 1</t>
  </si>
  <si>
    <t>topic</t>
  </si>
  <si>
    <t>WEEK 2</t>
  </si>
  <si>
    <t>4.5 u-substitutions continued 1/28 5.1 Area between curves</t>
  </si>
  <si>
    <t>WEEK 3</t>
  </si>
  <si>
    <t>5.2 Volumes with discs and washers 2/2 5.3 Volumes with shells</t>
  </si>
  <si>
    <t>WEEK 4</t>
  </si>
  <si>
    <t xml:space="preserve">7.2 More trig integrals </t>
  </si>
  <si>
    <t>WEEK 5</t>
  </si>
  <si>
    <t>7.4 Partial Fractions and Inverse Tan integrals 2/16 7.5 Integration Strategies</t>
  </si>
  <si>
    <t>WEEK 6</t>
  </si>
  <si>
    <t xml:space="preserve">7.8 Improper integrals continued </t>
  </si>
  <si>
    <t>3/2 8.1 Arc length</t>
  </si>
  <si>
    <t>WEEK 7</t>
  </si>
  <si>
    <t>9.3 Separable differential equations 3/11 10.1 Parametric equations</t>
  </si>
  <si>
    <t>WEEK 9</t>
  </si>
  <si>
    <t>10.2 Calculus with parametric equations 3/23 RESEARCH SYMPOSIUM - NO CLASS 3/25 10.3 Polar coordinates</t>
  </si>
  <si>
    <t>WEEK 10</t>
  </si>
  <si>
    <t>10.4 Areas with polar coordinates 3/30 Exam 2 Review</t>
  </si>
  <si>
    <t>WEEK 11</t>
  </si>
  <si>
    <t>WEEK 12</t>
  </si>
  <si>
    <t>11.5 Alternating series test 4/15 GOOD FRIDAY - NO CLASS</t>
  </si>
  <si>
    <t>WEEK 13</t>
  </si>
  <si>
    <t>11.7 Strategies 4/22 Exam 3 Review</t>
  </si>
  <si>
    <t>4/22 Exam 3 Review</t>
  </si>
  <si>
    <t>WEEK 14</t>
  </si>
  <si>
    <t xml:space="preserve"> EXAM 3</t>
  </si>
  <si>
    <t xml:space="preserve"> Final Review </t>
  </si>
  <si>
    <t>4/29 Final Review</t>
  </si>
  <si>
    <t>WEEK 15</t>
  </si>
  <si>
    <t>FINAL EXAM 10:30-12:30 PM</t>
  </si>
  <si>
    <t>previous schedule</t>
  </si>
  <si>
    <t>previous agenda</t>
  </si>
  <si>
    <t xml:space="preserve">Stewart Chapter </t>
  </si>
  <si>
    <t xml:space="preserve"> Topic</t>
  </si>
  <si>
    <t>1/19 Review of Derivatives</t>
  </si>
  <si>
    <t>keep</t>
  </si>
  <si>
    <t>1/21 Review of Integrals and Limits</t>
  </si>
  <si>
    <t>1/24 4.5 u-substitutions</t>
  </si>
  <si>
    <t>1/26 4.5 u-substitutions continued</t>
  </si>
  <si>
    <t>1/28 5.1 Area between curves</t>
  </si>
  <si>
    <t>1/31 5.2 Volumes with discs and washers</t>
  </si>
  <si>
    <t>2/2 5.3 Volumes with shells</t>
  </si>
  <si>
    <t>2/4 7.1 Integration by parts</t>
  </si>
  <si>
    <t>2/7 7.2 Trig integrals</t>
  </si>
  <si>
    <t>2/9 7.2 More trig integrals</t>
  </si>
  <si>
    <t>2/11 7.3 Trig substitutions</t>
  </si>
  <si>
    <t>2/14 7.4 Partial Fractions and Inverse Tan integrals</t>
  </si>
  <si>
    <t>2/16 7.5 Integration Strategies</t>
  </si>
  <si>
    <t>2/18 Exam 1 Review</t>
  </si>
  <si>
    <t>2/23 EXAM 1</t>
  </si>
  <si>
    <t>2/25 7.6 &amp; 7.8 Tables and improper integrals</t>
  </si>
  <si>
    <t>2/28 7.8 Improper integrals continued</t>
  </si>
  <si>
    <t>3/4 8.2 Surface area</t>
  </si>
  <si>
    <t>3/7 8.5 Probability</t>
  </si>
  <si>
    <t>3/9 9.3 Separable differential equations</t>
  </si>
  <si>
    <t>3/11 10.1 Parametric equations</t>
  </si>
  <si>
    <t>3/21 10.2 Calculus with parametric equations</t>
  </si>
  <si>
    <t>3/25 10.3 Polar coordinates</t>
  </si>
  <si>
    <t>3/28 10.4 Areas with polar coordinates</t>
  </si>
  <si>
    <t>3/30 Exam 2 Review</t>
  </si>
  <si>
    <t>4/1 EXAM 2</t>
  </si>
  <si>
    <t>4/4 11.1 Sequences</t>
  </si>
  <si>
    <t>4/6 11.2 Series</t>
  </si>
  <si>
    <t>4/8 11.3 Integral test</t>
  </si>
  <si>
    <t>4/11 11.4 Comparison tests</t>
  </si>
  <si>
    <t>4/13 11.5 Alternating series test</t>
  </si>
  <si>
    <t>4/18 11.6 Ratio test</t>
  </si>
  <si>
    <t>4/20 11.7 Strategies</t>
  </si>
  <si>
    <t>4/25 EXAM 3</t>
  </si>
  <si>
    <t>4/27 Final Review</t>
  </si>
  <si>
    <t>5/2 FINAL EXAM 10:30-12:30 PM</t>
  </si>
  <si>
    <t>1/17 MLK DAY - NO CLASS</t>
  </si>
  <si>
    <t>2/21 PRESIDENT’S DAY - NO CLASS</t>
  </si>
  <si>
    <t>WEEK 8</t>
  </si>
  <si>
    <t>3/14 SPRING BREAK</t>
  </si>
  <si>
    <t>3/15 SPRING BREAK</t>
  </si>
  <si>
    <t>3/16 SPRING BREAK</t>
  </si>
  <si>
    <t>3/18 SPRING BREAK</t>
  </si>
  <si>
    <t>3/23 RESEARCH SYMPOSIUM - NO CLASS</t>
  </si>
  <si>
    <t>4/15 GOOD FRIDAY - NO CLASS</t>
  </si>
  <si>
    <r>
      <rPr/>
      <t xml:space="preserve">WRONG COLLEGE THIS </t>
    </r>
    <r>
      <rPr>
        <color rgb="FF1155CC"/>
        <u/>
      </rPr>
      <t>SIMPSON.EDU</t>
    </r>
    <r>
      <rPr/>
      <t xml:space="preserve"> NOT </t>
    </r>
    <r>
      <rPr>
        <color rgb="FF1155CC"/>
        <u/>
      </rPr>
      <t>SIMPSONU.EDU</t>
    </r>
  </si>
  <si>
    <t>Fall Semester 2023</t>
  </si>
  <si>
    <t>Mid-Term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</si>
</sst>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&quot;, &quot;mmmm&quot; &quot;d&quot;, &quot;yyyy"/>
    <numFmt numFmtId="165" formatCode="#,##0.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rgb="FFFFFFFF"/>
      <name val="&quot;Times New Roman&quot;"/>
    </font>
    <font/>
    <font>
      <sz val="11.0"/>
      <color rgb="FF000000"/>
      <name val="&quot;Times New Roman&quot;"/>
    </font>
    <font>
      <b/>
      <sz val="11.0"/>
      <color rgb="FF000000"/>
      <name val="&quot;Times New Roman&quot;"/>
    </font>
    <font>
      <i/>
      <sz val="11.0"/>
      <color rgb="FF000000"/>
      <name val="&quot;Times New Roman&quot;"/>
    </font>
    <font>
      <b/>
      <i/>
      <sz val="11.0"/>
      <color rgb="FF000000"/>
      <name val="&quot;Times New Roman&quot;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AB1809"/>
        <bgColor rgb="FFAB180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left" readingOrder="0"/>
    </xf>
    <xf borderId="1" fillId="2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5" numFmtId="0" xfId="0" applyAlignment="1" applyBorder="1" applyFont="1">
      <alignment horizontal="left" readingOrder="0" shrinkToFit="0" wrapText="1"/>
    </xf>
    <xf borderId="3" fillId="0" fontId="6" numFmtId="164" xfId="0" applyAlignment="1" applyBorder="1" applyFont="1" applyNumberFormat="1">
      <alignment horizontal="left" readingOrder="0" shrinkToFit="0" wrapText="1"/>
    </xf>
    <xf borderId="3" fillId="0" fontId="7" numFmtId="0" xfId="0" applyAlignment="1" applyBorder="1" applyFont="1">
      <alignment horizontal="left" readingOrder="0" shrinkToFit="0" wrapText="1"/>
    </xf>
    <xf borderId="3" fillId="0" fontId="6" numFmtId="0" xfId="0" applyAlignment="1" applyBorder="1" applyFont="1">
      <alignment horizontal="left" readingOrder="0" shrinkToFit="0" wrapText="1"/>
    </xf>
    <xf borderId="3" fillId="0" fontId="8" numFmtId="0" xfId="0" applyAlignment="1" applyBorder="1" applyFont="1">
      <alignment horizontal="left" readingOrder="0" shrinkToFit="0" wrapText="1"/>
    </xf>
    <xf borderId="3" fillId="0" fontId="5" numFmtId="0" xfId="0" applyAlignment="1" applyBorder="1" applyFont="1">
      <alignment horizontal="center" readingOrder="0" shrinkToFit="0" wrapText="1"/>
    </xf>
    <xf borderId="0" fillId="0" fontId="1" numFmtId="164" xfId="0" applyAlignment="1" applyFont="1" applyNumberFormat="1">
      <alignment horizontal="left"/>
    </xf>
    <xf borderId="0" fillId="0" fontId="9" numFmtId="0" xfId="0" applyAlignment="1" applyFont="1">
      <alignment readingOrder="0"/>
    </xf>
    <xf borderId="0" fillId="0" fontId="1" numFmtId="165" xfId="0" applyFont="1" applyNumberFormat="1"/>
    <xf borderId="0" fillId="0" fontId="10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0</xdr:row>
      <xdr:rowOff>152400</xdr:rowOff>
    </xdr:from>
    <xdr:ext cx="2562225" cy="5038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impson.edu/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63"/>
    <col customWidth="1" min="3" max="3" width="28.88"/>
    <col customWidth="1" min="4" max="4" width="29.63"/>
    <col customWidth="1" min="5" max="5" width="30.5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2">
        <v>45163.0</v>
      </c>
      <c r="D2" s="3" t="s">
        <v>4</v>
      </c>
    </row>
    <row r="3">
      <c r="B3" s="2">
        <v>45165.0</v>
      </c>
      <c r="D3" s="3" t="s">
        <v>5</v>
      </c>
    </row>
    <row r="4">
      <c r="B4" s="2">
        <v>45166.0</v>
      </c>
      <c r="D4" s="3" t="s">
        <v>6</v>
      </c>
    </row>
    <row r="5">
      <c r="B5" s="2">
        <v>45167.0</v>
      </c>
      <c r="D5" s="3" t="s">
        <v>7</v>
      </c>
    </row>
    <row r="6">
      <c r="B6" s="2">
        <v>45168.0</v>
      </c>
      <c r="D6" s="3" t="s">
        <v>8</v>
      </c>
    </row>
    <row r="7">
      <c r="B7" s="2">
        <v>45173.0</v>
      </c>
      <c r="C7" s="1" t="s">
        <v>9</v>
      </c>
      <c r="D7" s="4">
        <f>WEEKDAY(B7)</f>
        <v>2</v>
      </c>
      <c r="E7" s="4" t="s">
        <v>9</v>
      </c>
    </row>
    <row r="8">
      <c r="B8" s="2">
        <v>45173.0</v>
      </c>
      <c r="D8" s="3" t="s">
        <v>10</v>
      </c>
    </row>
    <row r="9">
      <c r="B9" s="2">
        <v>45173.0</v>
      </c>
      <c r="D9" s="3" t="s">
        <v>11</v>
      </c>
    </row>
    <row r="10">
      <c r="B10" s="2">
        <v>45175.0</v>
      </c>
      <c r="C10" s="4" t="s">
        <v>12</v>
      </c>
      <c r="D10" s="4">
        <f>WEEKDAY(B10)</f>
        <v>4</v>
      </c>
      <c r="E10" s="4" t="s">
        <v>12</v>
      </c>
    </row>
    <row r="11">
      <c r="B11" s="2">
        <v>45176.0</v>
      </c>
      <c r="C11" s="1" t="s">
        <v>13</v>
      </c>
    </row>
    <row r="12">
      <c r="B12" s="2">
        <v>45177.0</v>
      </c>
      <c r="C12" s="4" t="s">
        <v>14</v>
      </c>
      <c r="D12" s="4">
        <f t="shared" ref="D12:D14" si="1">WEEKDAY(B12)</f>
        <v>6</v>
      </c>
      <c r="E12" s="4" t="s">
        <v>14</v>
      </c>
    </row>
    <row r="13">
      <c r="B13" s="2">
        <v>45180.0</v>
      </c>
      <c r="C13" s="4" t="s">
        <v>15</v>
      </c>
      <c r="D13" s="4">
        <f t="shared" si="1"/>
        <v>2</v>
      </c>
      <c r="E13" s="4" t="s">
        <v>15</v>
      </c>
    </row>
    <row r="14">
      <c r="B14" s="2">
        <v>45182.0</v>
      </c>
      <c r="C14" s="4" t="s">
        <v>16</v>
      </c>
      <c r="D14" s="4">
        <f t="shared" si="1"/>
        <v>4</v>
      </c>
      <c r="E14" s="4" t="s">
        <v>16</v>
      </c>
    </row>
    <row r="15">
      <c r="B15" s="2">
        <v>45183.0</v>
      </c>
      <c r="C15" s="1" t="s">
        <v>13</v>
      </c>
    </row>
    <row r="16">
      <c r="B16" s="2">
        <v>45184.0</v>
      </c>
      <c r="C16" s="4" t="s">
        <v>17</v>
      </c>
      <c r="D16" s="4">
        <f t="shared" ref="D16:D18" si="2">WEEKDAY(B16)</f>
        <v>6</v>
      </c>
      <c r="E16" s="4" t="s">
        <v>17</v>
      </c>
    </row>
    <row r="17">
      <c r="B17" s="2">
        <v>45187.0</v>
      </c>
      <c r="C17" s="4" t="s">
        <v>18</v>
      </c>
      <c r="D17" s="4">
        <f t="shared" si="2"/>
        <v>2</v>
      </c>
      <c r="E17" s="4" t="s">
        <v>18</v>
      </c>
    </row>
    <row r="18">
      <c r="B18" s="2">
        <v>45189.0</v>
      </c>
      <c r="C18" s="4" t="s">
        <v>19</v>
      </c>
      <c r="D18" s="4">
        <f t="shared" si="2"/>
        <v>4</v>
      </c>
      <c r="E18" s="4" t="s">
        <v>19</v>
      </c>
    </row>
    <row r="19">
      <c r="B19" s="2">
        <v>45190.0</v>
      </c>
      <c r="C19" s="1" t="s">
        <v>20</v>
      </c>
    </row>
    <row r="20">
      <c r="B20" s="2">
        <v>45191.0</v>
      </c>
      <c r="C20" s="4" t="s">
        <v>21</v>
      </c>
      <c r="D20" s="4">
        <f t="shared" ref="D20:D22" si="3">WEEKDAY(B20)</f>
        <v>6</v>
      </c>
      <c r="E20" s="4" t="s">
        <v>21</v>
      </c>
    </row>
    <row r="21">
      <c r="B21" s="2">
        <v>45194.0</v>
      </c>
      <c r="C21" s="4" t="s">
        <v>22</v>
      </c>
      <c r="D21" s="4">
        <f t="shared" si="3"/>
        <v>2</v>
      </c>
      <c r="E21" s="4" t="s">
        <v>22</v>
      </c>
    </row>
    <row r="22">
      <c r="B22" s="2">
        <v>45196.0</v>
      </c>
      <c r="C22" s="4" t="s">
        <v>23</v>
      </c>
      <c r="D22" s="4">
        <f t="shared" si="3"/>
        <v>4</v>
      </c>
      <c r="E22" s="4" t="s">
        <v>23</v>
      </c>
    </row>
    <row r="23">
      <c r="B23" s="2">
        <v>45197.0</v>
      </c>
      <c r="C23" s="1" t="s">
        <v>13</v>
      </c>
    </row>
    <row r="24">
      <c r="B24" s="2">
        <v>45198.0</v>
      </c>
      <c r="C24" s="4" t="s">
        <v>24</v>
      </c>
      <c r="D24" s="4">
        <f t="shared" ref="D24:D26" si="4">WEEKDAY(B24)</f>
        <v>6</v>
      </c>
      <c r="E24" s="4" t="s">
        <v>24</v>
      </c>
    </row>
    <row r="25">
      <c r="B25" s="2">
        <v>45201.0</v>
      </c>
      <c r="C25" s="4" t="s">
        <v>25</v>
      </c>
      <c r="D25" s="4">
        <f t="shared" si="4"/>
        <v>2</v>
      </c>
      <c r="E25" s="4" t="s">
        <v>25</v>
      </c>
    </row>
    <row r="26">
      <c r="B26" s="2">
        <v>45203.0</v>
      </c>
      <c r="C26" s="4" t="s">
        <v>26</v>
      </c>
      <c r="D26" s="4">
        <f t="shared" si="4"/>
        <v>4</v>
      </c>
      <c r="E26" s="4" t="s">
        <v>26</v>
      </c>
    </row>
    <row r="27">
      <c r="B27" s="2">
        <v>45204.0</v>
      </c>
      <c r="C27" s="1" t="s">
        <v>13</v>
      </c>
    </row>
    <row r="28">
      <c r="B28" s="2">
        <v>45205.0</v>
      </c>
      <c r="C28" s="4" t="s">
        <v>27</v>
      </c>
      <c r="D28" s="4">
        <f t="shared" ref="D28:D30" si="5">WEEKDAY(B28)</f>
        <v>6</v>
      </c>
      <c r="E28" s="4" t="s">
        <v>27</v>
      </c>
    </row>
    <row r="29">
      <c r="B29" s="2">
        <v>45208.0</v>
      </c>
      <c r="C29" s="4" t="s">
        <v>28</v>
      </c>
      <c r="D29" s="4">
        <f t="shared" si="5"/>
        <v>2</v>
      </c>
      <c r="E29" s="4" t="s">
        <v>28</v>
      </c>
    </row>
    <row r="30">
      <c r="B30" s="2">
        <v>45210.0</v>
      </c>
      <c r="C30" s="4" t="s">
        <v>29</v>
      </c>
      <c r="D30" s="4">
        <f t="shared" si="5"/>
        <v>4</v>
      </c>
      <c r="E30" s="4" t="s">
        <v>29</v>
      </c>
    </row>
    <row r="31">
      <c r="B31" s="2">
        <v>45211.0</v>
      </c>
      <c r="C31" s="1" t="s">
        <v>13</v>
      </c>
    </row>
    <row r="32">
      <c r="B32" s="2">
        <v>45212.0</v>
      </c>
      <c r="C32" s="4" t="s">
        <v>30</v>
      </c>
      <c r="D32" s="4">
        <f>WEEKDAY(B32)</f>
        <v>6</v>
      </c>
      <c r="E32" s="4" t="s">
        <v>30</v>
      </c>
    </row>
    <row r="33">
      <c r="B33" s="2">
        <v>45213.0</v>
      </c>
      <c r="C33" s="3" t="s">
        <v>31</v>
      </c>
      <c r="D33" s="3" t="s">
        <v>31</v>
      </c>
    </row>
    <row r="34">
      <c r="B34" s="2">
        <v>45215.0</v>
      </c>
      <c r="C34" s="4" t="s">
        <v>32</v>
      </c>
      <c r="D34" s="4">
        <f t="shared" ref="D34:D35" si="6">WEEKDAY(B34)</f>
        <v>2</v>
      </c>
      <c r="E34" s="4" t="s">
        <v>32</v>
      </c>
    </row>
    <row r="35">
      <c r="A35" s="1" t="s">
        <v>33</v>
      </c>
      <c r="B35" s="2">
        <v>45217.0</v>
      </c>
      <c r="C35" s="4" t="s">
        <v>34</v>
      </c>
      <c r="D35" s="4">
        <f t="shared" si="6"/>
        <v>4</v>
      </c>
      <c r="E35" s="4" t="s">
        <v>34</v>
      </c>
    </row>
    <row r="36">
      <c r="B36" s="2">
        <v>45217.0</v>
      </c>
      <c r="C36" s="5" t="s">
        <v>35</v>
      </c>
      <c r="D36" s="3" t="s">
        <v>35</v>
      </c>
    </row>
    <row r="37">
      <c r="B37" s="2">
        <v>45218.0</v>
      </c>
      <c r="C37" s="5" t="s">
        <v>36</v>
      </c>
      <c r="D37" s="3" t="s">
        <v>36</v>
      </c>
    </row>
    <row r="38">
      <c r="B38" s="2">
        <v>45219.0</v>
      </c>
      <c r="C38" s="5" t="s">
        <v>36</v>
      </c>
      <c r="D38" s="3" t="s">
        <v>36</v>
      </c>
    </row>
    <row r="39">
      <c r="B39" s="2">
        <v>45222.0</v>
      </c>
      <c r="C39" s="4" t="s">
        <v>37</v>
      </c>
      <c r="D39" s="4">
        <f t="shared" ref="D39:D40" si="7">WEEKDAY(B39)</f>
        <v>2</v>
      </c>
      <c r="E39" s="4" t="s">
        <v>37</v>
      </c>
    </row>
    <row r="40">
      <c r="B40" s="2">
        <v>45224.0</v>
      </c>
      <c r="C40" s="4" t="s">
        <v>38</v>
      </c>
      <c r="D40" s="4">
        <f t="shared" si="7"/>
        <v>4</v>
      </c>
      <c r="E40" s="4" t="s">
        <v>38</v>
      </c>
    </row>
    <row r="41">
      <c r="B41" s="2">
        <v>45225.0</v>
      </c>
      <c r="C41" s="1" t="s">
        <v>13</v>
      </c>
    </row>
    <row r="42">
      <c r="B42" s="2">
        <v>45226.0</v>
      </c>
      <c r="C42" s="4" t="s">
        <v>39</v>
      </c>
      <c r="D42" s="4">
        <f t="shared" ref="D42:D43" si="8">WEEKDAY(B42)</f>
        <v>6</v>
      </c>
      <c r="E42" s="4" t="s">
        <v>39</v>
      </c>
    </row>
    <row r="43">
      <c r="B43" s="2">
        <v>45229.0</v>
      </c>
      <c r="C43" s="4" t="s">
        <v>40</v>
      </c>
      <c r="D43" s="4">
        <f t="shared" si="8"/>
        <v>2</v>
      </c>
      <c r="E43" s="4" t="s">
        <v>40</v>
      </c>
    </row>
    <row r="44">
      <c r="B44" s="2">
        <v>45231.0</v>
      </c>
      <c r="C44" s="4" t="s">
        <v>41</v>
      </c>
      <c r="D44" s="4">
        <f>WEEKDAY(B45)</f>
        <v>5</v>
      </c>
      <c r="E44" s="4" t="s">
        <v>41</v>
      </c>
    </row>
    <row r="45">
      <c r="B45" s="2">
        <v>45232.0</v>
      </c>
      <c r="C45" s="1" t="s">
        <v>13</v>
      </c>
    </row>
    <row r="46">
      <c r="B46" s="2">
        <v>45233.0</v>
      </c>
      <c r="C46" s="1" t="s">
        <v>42</v>
      </c>
      <c r="D46" s="4">
        <f>WEEKDAY(B43)</f>
        <v>2</v>
      </c>
      <c r="E46" s="4" t="s">
        <v>43</v>
      </c>
    </row>
    <row r="47">
      <c r="B47" s="2">
        <v>45236.0</v>
      </c>
      <c r="D47" s="3" t="s">
        <v>44</v>
      </c>
    </row>
    <row r="48">
      <c r="B48" s="2">
        <v>45236.0</v>
      </c>
      <c r="C48" s="4" t="s">
        <v>45</v>
      </c>
      <c r="D48" s="4">
        <f>WEEKDAY(B50)</f>
        <v>5</v>
      </c>
      <c r="E48" s="4" t="s">
        <v>45</v>
      </c>
    </row>
    <row r="49">
      <c r="B49" s="2">
        <v>45238.0</v>
      </c>
      <c r="C49" s="4" t="s">
        <v>46</v>
      </c>
      <c r="D49" s="4">
        <f>WEEKDAY(B49)</f>
        <v>4</v>
      </c>
      <c r="E49" s="4" t="s">
        <v>46</v>
      </c>
    </row>
    <row r="50">
      <c r="B50" s="2">
        <v>45239.0</v>
      </c>
      <c r="C50" s="1" t="s">
        <v>13</v>
      </c>
    </row>
    <row r="51">
      <c r="B51" s="2">
        <v>45240.0</v>
      </c>
      <c r="C51" s="4" t="s">
        <v>47</v>
      </c>
      <c r="D51" s="4">
        <f t="shared" ref="D51:D53" si="9">WEEKDAY(B51)</f>
        <v>6</v>
      </c>
      <c r="E51" s="4" t="s">
        <v>47</v>
      </c>
    </row>
    <row r="52">
      <c r="B52" s="2">
        <v>45243.0</v>
      </c>
      <c r="C52" s="4" t="s">
        <v>48</v>
      </c>
      <c r="D52" s="4">
        <f t="shared" si="9"/>
        <v>2</v>
      </c>
      <c r="E52" s="4" t="s">
        <v>48</v>
      </c>
    </row>
    <row r="53">
      <c r="B53" s="2">
        <v>45245.0</v>
      </c>
      <c r="C53" s="4" t="s">
        <v>49</v>
      </c>
      <c r="D53" s="4">
        <f t="shared" si="9"/>
        <v>4</v>
      </c>
      <c r="E53" s="4" t="s">
        <v>49</v>
      </c>
    </row>
    <row r="54">
      <c r="B54" s="2">
        <v>45246.0</v>
      </c>
      <c r="C54" s="1" t="s">
        <v>13</v>
      </c>
    </row>
    <row r="55">
      <c r="B55" s="2">
        <v>45247.0</v>
      </c>
      <c r="C55" s="4" t="s">
        <v>50</v>
      </c>
      <c r="D55" s="4">
        <f t="shared" ref="D55:D57" si="10">WEEKDAY(B55)</f>
        <v>6</v>
      </c>
      <c r="E55" s="4" t="s">
        <v>50</v>
      </c>
    </row>
    <row r="56">
      <c r="B56" s="2">
        <v>45250.0</v>
      </c>
      <c r="C56" s="4" t="s">
        <v>51</v>
      </c>
      <c r="D56" s="4">
        <f t="shared" si="10"/>
        <v>2</v>
      </c>
      <c r="E56" s="4" t="s">
        <v>51</v>
      </c>
    </row>
    <row r="57">
      <c r="B57" s="2">
        <v>45252.0</v>
      </c>
      <c r="C57" s="4" t="s">
        <v>52</v>
      </c>
      <c r="D57" s="4">
        <f t="shared" si="10"/>
        <v>4</v>
      </c>
      <c r="E57" s="4" t="s">
        <v>52</v>
      </c>
    </row>
    <row r="58">
      <c r="B58" s="2">
        <v>45252.0</v>
      </c>
      <c r="C58" s="3" t="s">
        <v>53</v>
      </c>
      <c r="D58" s="3" t="s">
        <v>53</v>
      </c>
    </row>
    <row r="59">
      <c r="B59" s="2">
        <v>45253.0</v>
      </c>
      <c r="C59" s="3" t="s">
        <v>53</v>
      </c>
      <c r="D59" s="3" t="s">
        <v>53</v>
      </c>
    </row>
    <row r="60">
      <c r="B60" s="2">
        <v>45254.0</v>
      </c>
      <c r="C60" s="3" t="s">
        <v>53</v>
      </c>
      <c r="D60" s="3" t="s">
        <v>53</v>
      </c>
    </row>
    <row r="61">
      <c r="B61" s="2">
        <v>45257.0</v>
      </c>
      <c r="C61" s="4" t="s">
        <v>54</v>
      </c>
      <c r="D61" s="4">
        <f t="shared" ref="D61:D62" si="11">WEEKDAY(B61)</f>
        <v>2</v>
      </c>
      <c r="E61" s="4" t="s">
        <v>54</v>
      </c>
      <c r="F61" s="1" t="s">
        <v>55</v>
      </c>
    </row>
    <row r="62">
      <c r="B62" s="2">
        <v>45259.0</v>
      </c>
      <c r="C62" s="4" t="s">
        <v>54</v>
      </c>
      <c r="D62" s="4">
        <f t="shared" si="11"/>
        <v>4</v>
      </c>
      <c r="E62" s="4" t="s">
        <v>56</v>
      </c>
    </row>
    <row r="63">
      <c r="B63" s="2">
        <v>45260.0</v>
      </c>
      <c r="C63" s="1" t="s">
        <v>13</v>
      </c>
    </row>
    <row r="64">
      <c r="B64" s="2">
        <v>45261.0</v>
      </c>
      <c r="C64" s="4" t="s">
        <v>56</v>
      </c>
      <c r="D64" s="4">
        <f t="shared" ref="D64:D66" si="12">WEEKDAY(B64)</f>
        <v>6</v>
      </c>
      <c r="E64" s="4" t="s">
        <v>57</v>
      </c>
    </row>
    <row r="65">
      <c r="B65" s="2">
        <v>45264.0</v>
      </c>
      <c r="C65" s="4" t="s">
        <v>57</v>
      </c>
      <c r="D65" s="4">
        <f t="shared" si="12"/>
        <v>2</v>
      </c>
      <c r="E65" s="4" t="s">
        <v>57</v>
      </c>
    </row>
    <row r="66">
      <c r="A66" s="1" t="s">
        <v>58</v>
      </c>
      <c r="B66" s="2">
        <v>45266.0</v>
      </c>
      <c r="C66" s="4" t="s">
        <v>57</v>
      </c>
      <c r="D66" s="4">
        <f t="shared" si="12"/>
        <v>4</v>
      </c>
      <c r="E66" s="4" t="s">
        <v>57</v>
      </c>
    </row>
    <row r="67">
      <c r="B67" s="2">
        <v>45267.0</v>
      </c>
      <c r="D67" s="3" t="s">
        <v>59</v>
      </c>
    </row>
    <row r="68">
      <c r="B68" s="2">
        <v>45267.0</v>
      </c>
      <c r="C68" s="1" t="s">
        <v>13</v>
      </c>
    </row>
    <row r="69">
      <c r="B69" s="2">
        <v>45268.0</v>
      </c>
      <c r="D69" s="3" t="s">
        <v>60</v>
      </c>
    </row>
    <row r="70">
      <c r="B70" s="6">
        <v>45271.0</v>
      </c>
      <c r="D70" s="3" t="s">
        <v>61</v>
      </c>
    </row>
    <row r="71">
      <c r="B71" s="2">
        <v>45271.0</v>
      </c>
      <c r="C71" s="1" t="s">
        <v>62</v>
      </c>
      <c r="D71" s="4">
        <f>WEEKDAY(B71)</f>
        <v>2</v>
      </c>
      <c r="E71" s="1" t="s">
        <v>62</v>
      </c>
    </row>
    <row r="72">
      <c r="B72" s="6">
        <v>45272.0</v>
      </c>
      <c r="D72" s="3" t="s">
        <v>61</v>
      </c>
    </row>
    <row r="73">
      <c r="B73" s="2">
        <v>45273.0</v>
      </c>
      <c r="D73" s="4">
        <f>WEEKDAY(B73)</f>
        <v>4</v>
      </c>
    </row>
    <row r="74">
      <c r="B74" s="6">
        <v>45273.0</v>
      </c>
      <c r="D74" s="3" t="s">
        <v>61</v>
      </c>
    </row>
    <row r="75">
      <c r="B75" s="6">
        <v>45274.0</v>
      </c>
      <c r="D75" s="3" t="s">
        <v>61</v>
      </c>
    </row>
    <row r="76">
      <c r="B76" s="2">
        <v>45275.0</v>
      </c>
      <c r="D76" s="4">
        <f>WEEKDAY(B76)</f>
        <v>6</v>
      </c>
    </row>
    <row r="77">
      <c r="B77" s="2">
        <v>45275.0</v>
      </c>
      <c r="D77" s="3" t="s">
        <v>63</v>
      </c>
    </row>
    <row r="78">
      <c r="B78" s="2">
        <v>45275.0</v>
      </c>
      <c r="D78" s="3" t="s">
        <v>64</v>
      </c>
    </row>
    <row r="79">
      <c r="B79" s="2">
        <v>45278.0</v>
      </c>
      <c r="D79" s="4">
        <f>WEEKDAY(B79)</f>
        <v>2</v>
      </c>
    </row>
    <row r="80">
      <c r="B80" s="2">
        <v>45278.0</v>
      </c>
      <c r="D80" s="3" t="s">
        <v>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34.88"/>
  </cols>
  <sheetData>
    <row r="1">
      <c r="A1" s="1" t="s">
        <v>66</v>
      </c>
      <c r="B1" s="1" t="s">
        <v>67</v>
      </c>
    </row>
    <row r="2">
      <c r="A2" s="7">
        <v>45173.0</v>
      </c>
      <c r="B2" s="1" t="s">
        <v>9</v>
      </c>
    </row>
    <row r="3">
      <c r="A3" s="8">
        <v>45175.0</v>
      </c>
      <c r="B3" s="4" t="s">
        <v>12</v>
      </c>
    </row>
    <row r="4">
      <c r="A4" s="7">
        <v>45176.0</v>
      </c>
      <c r="B4" s="1" t="s">
        <v>68</v>
      </c>
    </row>
    <row r="5">
      <c r="A5" s="7">
        <v>45176.0</v>
      </c>
      <c r="B5" s="3" t="s">
        <v>69</v>
      </c>
    </row>
    <row r="6">
      <c r="A6" s="7">
        <v>45177.0</v>
      </c>
      <c r="B6" s="4" t="s">
        <v>14</v>
      </c>
    </row>
    <row r="7">
      <c r="A7" s="7">
        <v>45177.0</v>
      </c>
      <c r="B7" s="3" t="s">
        <v>70</v>
      </c>
    </row>
    <row r="8">
      <c r="A8" s="7">
        <v>45180.0</v>
      </c>
      <c r="B8" s="4" t="s">
        <v>15</v>
      </c>
    </row>
    <row r="9">
      <c r="A9" s="7">
        <v>45180.0</v>
      </c>
      <c r="B9" s="3" t="s">
        <v>71</v>
      </c>
    </row>
    <row r="10">
      <c r="A10" s="7">
        <v>45182.0</v>
      </c>
      <c r="B10" s="4" t="s">
        <v>16</v>
      </c>
    </row>
    <row r="11">
      <c r="A11" s="7">
        <v>45183.0</v>
      </c>
      <c r="B11" s="1" t="s">
        <v>68</v>
      </c>
    </row>
    <row r="12">
      <c r="A12" s="7">
        <v>45184.0</v>
      </c>
      <c r="B12" s="4" t="s">
        <v>17</v>
      </c>
    </row>
    <row r="13">
      <c r="A13" s="7">
        <v>45184.0</v>
      </c>
      <c r="B13" s="3" t="s">
        <v>72</v>
      </c>
    </row>
    <row r="14">
      <c r="A14" s="7">
        <v>45187.0</v>
      </c>
      <c r="B14" s="4" t="s">
        <v>18</v>
      </c>
    </row>
    <row r="15">
      <c r="A15" s="7">
        <v>45189.0</v>
      </c>
      <c r="B15" s="4" t="s">
        <v>19</v>
      </c>
    </row>
    <row r="16">
      <c r="A16" s="7">
        <v>45190.0</v>
      </c>
      <c r="B16" s="1" t="s">
        <v>68</v>
      </c>
    </row>
    <row r="17">
      <c r="A17" s="7">
        <v>45191.0</v>
      </c>
      <c r="B17" s="4" t="s">
        <v>21</v>
      </c>
    </row>
    <row r="18">
      <c r="A18" s="7">
        <v>45194.0</v>
      </c>
      <c r="B18" s="4" t="s">
        <v>22</v>
      </c>
    </row>
    <row r="19">
      <c r="A19" s="7">
        <v>45196.0</v>
      </c>
      <c r="B19" s="4" t="s">
        <v>23</v>
      </c>
    </row>
    <row r="20">
      <c r="A20" s="7">
        <v>45197.0</v>
      </c>
      <c r="B20" s="1" t="s">
        <v>68</v>
      </c>
    </row>
    <row r="21">
      <c r="A21" s="9">
        <v>45198.0</v>
      </c>
      <c r="B21" s="1" t="s">
        <v>73</v>
      </c>
    </row>
    <row r="22">
      <c r="A22" s="9">
        <v>45201.0</v>
      </c>
      <c r="B22" s="4" t="s">
        <v>25</v>
      </c>
    </row>
    <row r="23">
      <c r="A23" s="9">
        <v>45203.0</v>
      </c>
      <c r="B23" s="4" t="s">
        <v>26</v>
      </c>
    </row>
    <row r="24">
      <c r="A24" s="7">
        <v>45204.0</v>
      </c>
      <c r="B24" s="1" t="s">
        <v>68</v>
      </c>
    </row>
    <row r="25">
      <c r="A25" s="9">
        <v>45205.0</v>
      </c>
      <c r="B25" s="4" t="s">
        <v>27</v>
      </c>
    </row>
    <row r="26">
      <c r="A26" s="9">
        <v>45208.0</v>
      </c>
      <c r="B26" s="4" t="s">
        <v>28</v>
      </c>
    </row>
    <row r="27">
      <c r="A27" s="9">
        <v>45210.0</v>
      </c>
      <c r="B27" s="4" t="s">
        <v>29</v>
      </c>
    </row>
    <row r="28">
      <c r="A28" s="7">
        <v>45211.0</v>
      </c>
      <c r="B28" s="1" t="s">
        <v>68</v>
      </c>
    </row>
    <row r="29">
      <c r="A29" s="9">
        <v>45212.0</v>
      </c>
      <c r="B29" s="4" t="s">
        <v>30</v>
      </c>
    </row>
    <row r="30">
      <c r="A30" s="9">
        <v>45215.0</v>
      </c>
      <c r="B30" s="4" t="s">
        <v>32</v>
      </c>
    </row>
    <row r="31">
      <c r="A31" s="9">
        <v>45217.0</v>
      </c>
      <c r="B31" s="4" t="s">
        <v>34</v>
      </c>
    </row>
    <row r="32">
      <c r="A32" s="7">
        <v>45218.0</v>
      </c>
      <c r="B32" s="1" t="s">
        <v>68</v>
      </c>
    </row>
    <row r="33">
      <c r="A33" s="9">
        <v>45219.0</v>
      </c>
      <c r="B33" s="4" t="s">
        <v>37</v>
      </c>
    </row>
    <row r="34">
      <c r="A34" s="9">
        <v>45222.0</v>
      </c>
      <c r="B34" s="4" t="s">
        <v>38</v>
      </c>
    </row>
    <row r="35">
      <c r="A35" s="9">
        <v>45224.0</v>
      </c>
      <c r="B35" s="4" t="s">
        <v>39</v>
      </c>
    </row>
    <row r="36">
      <c r="A36" s="7">
        <v>45225.0</v>
      </c>
      <c r="B36" s="1" t="s">
        <v>68</v>
      </c>
    </row>
    <row r="37">
      <c r="A37" s="9">
        <v>45226.0</v>
      </c>
      <c r="B37" s="4" t="s">
        <v>40</v>
      </c>
    </row>
    <row r="38">
      <c r="A38" s="7">
        <v>45226.0</v>
      </c>
      <c r="B38" s="3" t="s">
        <v>74</v>
      </c>
    </row>
    <row r="39">
      <c r="A39" s="9">
        <v>45229.0</v>
      </c>
      <c r="B39" s="4" t="s">
        <v>41</v>
      </c>
    </row>
    <row r="40">
      <c r="A40" s="9">
        <v>45231.0</v>
      </c>
      <c r="B40" s="1" t="s">
        <v>42</v>
      </c>
    </row>
    <row r="41">
      <c r="A41" s="7">
        <v>45232.0</v>
      </c>
      <c r="B41" s="1" t="s">
        <v>75</v>
      </c>
    </row>
    <row r="42">
      <c r="A42" s="7">
        <v>45232.0</v>
      </c>
      <c r="B42" s="1" t="s">
        <v>68</v>
      </c>
    </row>
    <row r="43">
      <c r="A43" s="9">
        <v>45233.0</v>
      </c>
      <c r="B43" s="4" t="s">
        <v>45</v>
      </c>
    </row>
    <row r="44">
      <c r="A44" s="9">
        <v>45236.0</v>
      </c>
      <c r="B44" s="4" t="s">
        <v>46</v>
      </c>
    </row>
    <row r="45">
      <c r="A45" s="9">
        <v>45238.0</v>
      </c>
      <c r="B45" s="4" t="s">
        <v>47</v>
      </c>
    </row>
    <row r="46">
      <c r="A46" s="7">
        <v>45239.0</v>
      </c>
      <c r="B46" s="1" t="s">
        <v>68</v>
      </c>
    </row>
    <row r="47">
      <c r="A47" s="7">
        <v>45240.0</v>
      </c>
      <c r="B47" s="3" t="s">
        <v>76</v>
      </c>
    </row>
    <row r="48">
      <c r="A48" s="7">
        <v>45240.0</v>
      </c>
      <c r="B48" s="3" t="s">
        <v>77</v>
      </c>
    </row>
    <row r="49">
      <c r="A49" s="9">
        <v>45243.0</v>
      </c>
      <c r="B49" s="4" t="s">
        <v>48</v>
      </c>
    </row>
    <row r="50">
      <c r="A50" s="7">
        <v>45243.0</v>
      </c>
      <c r="B50" s="3" t="s">
        <v>78</v>
      </c>
    </row>
    <row r="51">
      <c r="A51" s="9">
        <v>45245.0</v>
      </c>
      <c r="B51" s="4" t="s">
        <v>49</v>
      </c>
    </row>
    <row r="52">
      <c r="A52" s="7">
        <v>45246.0</v>
      </c>
      <c r="B52" s="1" t="s">
        <v>68</v>
      </c>
    </row>
    <row r="53">
      <c r="A53" s="9">
        <v>45247.0</v>
      </c>
      <c r="B53" s="4" t="s">
        <v>50</v>
      </c>
    </row>
    <row r="54">
      <c r="A54" s="9">
        <v>45250.0</v>
      </c>
      <c r="B54" s="4" t="s">
        <v>51</v>
      </c>
    </row>
    <row r="55">
      <c r="A55" s="7">
        <v>45252.0</v>
      </c>
      <c r="B55" s="3" t="s">
        <v>53</v>
      </c>
    </row>
    <row r="56">
      <c r="A56" s="7">
        <v>45253.0</v>
      </c>
      <c r="B56" s="3" t="s">
        <v>53</v>
      </c>
    </row>
    <row r="57">
      <c r="A57" s="7">
        <v>45254.0</v>
      </c>
      <c r="B57" s="3" t="s">
        <v>53</v>
      </c>
    </row>
    <row r="58">
      <c r="A58" s="7">
        <v>45255.0</v>
      </c>
      <c r="B58" s="3" t="s">
        <v>53</v>
      </c>
    </row>
    <row r="59">
      <c r="A59" s="7">
        <v>45256.0</v>
      </c>
      <c r="B59" s="3" t="s">
        <v>53</v>
      </c>
    </row>
    <row r="60">
      <c r="A60" s="9">
        <v>45257.0</v>
      </c>
      <c r="B60" s="4" t="s">
        <v>52</v>
      </c>
    </row>
    <row r="61">
      <c r="A61" s="9">
        <v>45259.0</v>
      </c>
      <c r="B61" s="4" t="s">
        <v>54</v>
      </c>
    </row>
    <row r="62">
      <c r="A62" s="7">
        <v>45260.0</v>
      </c>
      <c r="B62" s="1" t="s">
        <v>68</v>
      </c>
    </row>
    <row r="63">
      <c r="A63" s="9">
        <v>45261.0</v>
      </c>
      <c r="B63" s="4" t="s">
        <v>56</v>
      </c>
    </row>
    <row r="64">
      <c r="A64" s="9">
        <v>45264.0</v>
      </c>
      <c r="B64" s="4" t="s">
        <v>57</v>
      </c>
    </row>
    <row r="65">
      <c r="A65" s="9">
        <v>45266.0</v>
      </c>
      <c r="B65" s="4" t="s">
        <v>57</v>
      </c>
    </row>
    <row r="66">
      <c r="A66" s="7">
        <v>45267.0</v>
      </c>
      <c r="B66" s="1" t="s">
        <v>68</v>
      </c>
    </row>
    <row r="67">
      <c r="A67" s="9">
        <v>45268.0</v>
      </c>
      <c r="B67" s="4" t="s">
        <v>57</v>
      </c>
    </row>
    <row r="68">
      <c r="A68" s="7">
        <v>45268.0</v>
      </c>
      <c r="B68" s="3" t="s">
        <v>79</v>
      </c>
    </row>
    <row r="69">
      <c r="A69" s="7">
        <v>45271.0</v>
      </c>
      <c r="B69" s="1" t="s">
        <v>80</v>
      </c>
    </row>
    <row r="70">
      <c r="A70" s="7">
        <v>45272.0</v>
      </c>
      <c r="B70" s="3" t="s">
        <v>81</v>
      </c>
    </row>
    <row r="71">
      <c r="A71" s="7">
        <v>45273.0</v>
      </c>
      <c r="B71" s="3" t="s">
        <v>81</v>
      </c>
    </row>
    <row r="72">
      <c r="A72" s="7">
        <v>45274.0</v>
      </c>
      <c r="B72" s="3" t="s">
        <v>81</v>
      </c>
    </row>
    <row r="73">
      <c r="A73" s="7">
        <v>45275.0</v>
      </c>
      <c r="B73" s="3" t="s">
        <v>81</v>
      </c>
    </row>
    <row r="74">
      <c r="A74" s="7">
        <v>45275.0</v>
      </c>
      <c r="B74" s="3" t="s">
        <v>82</v>
      </c>
    </row>
    <row r="75">
      <c r="A75" s="7">
        <v>45277.0</v>
      </c>
      <c r="B75" s="3" t="s">
        <v>83</v>
      </c>
    </row>
    <row r="76">
      <c r="A76" s="7">
        <v>45280.0</v>
      </c>
      <c r="B76" s="3" t="s">
        <v>84</v>
      </c>
    </row>
  </sheetData>
  <conditionalFormatting sqref="A1:A76">
    <cfRule type="timePeriod" dxfId="0" priority="1" timePeriod="today"/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38"/>
    <col customWidth="1" min="2" max="2" width="25.75"/>
    <col customWidth="1" min="3" max="3" width="9.88"/>
  </cols>
  <sheetData>
    <row r="1">
      <c r="A1" s="1" t="s">
        <v>85</v>
      </c>
      <c r="B1" s="10" t="s">
        <v>66</v>
      </c>
      <c r="C1" s="1" t="s">
        <v>86</v>
      </c>
    </row>
    <row r="2">
      <c r="A2" s="11" t="s">
        <v>87</v>
      </c>
      <c r="B2" s="12"/>
    </row>
    <row r="3">
      <c r="A3" s="13" t="s">
        <v>88</v>
      </c>
      <c r="B3" s="14">
        <v>45173.0</v>
      </c>
      <c r="C3" s="4">
        <f t="shared" ref="C3:C28" si="1">WEEKDAY(B3)</f>
        <v>2</v>
      </c>
    </row>
    <row r="4">
      <c r="A4" s="13" t="s">
        <v>69</v>
      </c>
      <c r="B4" s="14">
        <v>45176.0</v>
      </c>
      <c r="C4" s="4">
        <f t="shared" si="1"/>
        <v>5</v>
      </c>
    </row>
    <row r="5">
      <c r="A5" s="13" t="s">
        <v>70</v>
      </c>
      <c r="B5" s="14">
        <v>45177.0</v>
      </c>
      <c r="C5" s="4">
        <f t="shared" si="1"/>
        <v>6</v>
      </c>
    </row>
    <row r="6">
      <c r="A6" s="13" t="s">
        <v>71</v>
      </c>
      <c r="B6" s="14">
        <v>45180.0</v>
      </c>
      <c r="C6" s="4">
        <f t="shared" si="1"/>
        <v>2</v>
      </c>
    </row>
    <row r="7">
      <c r="A7" s="13" t="s">
        <v>72</v>
      </c>
      <c r="B7" s="14">
        <v>45184.0</v>
      </c>
      <c r="C7" s="4">
        <f t="shared" si="1"/>
        <v>6</v>
      </c>
    </row>
    <row r="8">
      <c r="A8" s="15" t="s">
        <v>89</v>
      </c>
      <c r="B8" s="14">
        <v>45225.0</v>
      </c>
      <c r="C8" s="4">
        <f t="shared" si="1"/>
        <v>5</v>
      </c>
    </row>
    <row r="9">
      <c r="A9" s="13" t="s">
        <v>74</v>
      </c>
      <c r="B9" s="14">
        <v>45226.0</v>
      </c>
      <c r="C9" s="4">
        <f t="shared" si="1"/>
        <v>6</v>
      </c>
    </row>
    <row r="10">
      <c r="A10" s="16" t="s">
        <v>77</v>
      </c>
      <c r="B10" s="14">
        <v>45240.0</v>
      </c>
      <c r="C10" s="4">
        <f t="shared" si="1"/>
        <v>6</v>
      </c>
    </row>
    <row r="11">
      <c r="A11" s="13" t="s">
        <v>76</v>
      </c>
      <c r="B11" s="14">
        <v>45240.0</v>
      </c>
      <c r="C11" s="4">
        <f t="shared" si="1"/>
        <v>6</v>
      </c>
    </row>
    <row r="12">
      <c r="A12" s="13" t="s">
        <v>78</v>
      </c>
      <c r="B12" s="14">
        <v>45243.0</v>
      </c>
      <c r="C12" s="4">
        <f t="shared" si="1"/>
        <v>2</v>
      </c>
    </row>
    <row r="13">
      <c r="A13" s="17" t="s">
        <v>53</v>
      </c>
      <c r="B13" s="14">
        <v>45252.0</v>
      </c>
      <c r="C13" s="4">
        <f t="shared" si="1"/>
        <v>4</v>
      </c>
    </row>
    <row r="14">
      <c r="A14" s="17" t="s">
        <v>53</v>
      </c>
      <c r="B14" s="14">
        <v>45253.0</v>
      </c>
      <c r="C14" s="4">
        <f t="shared" si="1"/>
        <v>5</v>
      </c>
    </row>
    <row r="15">
      <c r="A15" s="17" t="s">
        <v>53</v>
      </c>
      <c r="B15" s="14">
        <v>45254.0</v>
      </c>
      <c r="C15" s="4">
        <f t="shared" si="1"/>
        <v>6</v>
      </c>
    </row>
    <row r="16">
      <c r="A16" s="17" t="s">
        <v>53</v>
      </c>
      <c r="B16" s="14">
        <v>45255.0</v>
      </c>
      <c r="C16" s="4">
        <f t="shared" si="1"/>
        <v>7</v>
      </c>
    </row>
    <row r="17">
      <c r="A17" s="17" t="s">
        <v>53</v>
      </c>
      <c r="B17" s="14">
        <v>45256.0</v>
      </c>
      <c r="C17" s="4">
        <f t="shared" si="1"/>
        <v>1</v>
      </c>
    </row>
    <row r="18">
      <c r="A18" s="13" t="s">
        <v>79</v>
      </c>
      <c r="B18" s="14">
        <v>45268.0</v>
      </c>
      <c r="C18" s="4">
        <f t="shared" si="1"/>
        <v>6</v>
      </c>
    </row>
    <row r="19">
      <c r="A19" s="13" t="s">
        <v>81</v>
      </c>
      <c r="B19" s="14">
        <v>45271.0</v>
      </c>
      <c r="C19" s="4">
        <f t="shared" si="1"/>
        <v>2</v>
      </c>
    </row>
    <row r="20">
      <c r="A20" s="13" t="s">
        <v>90</v>
      </c>
      <c r="B20" s="14">
        <v>45274.0</v>
      </c>
      <c r="C20" s="4">
        <f t="shared" si="1"/>
        <v>5</v>
      </c>
    </row>
    <row r="21">
      <c r="A21" s="13" t="s">
        <v>82</v>
      </c>
      <c r="B21" s="14">
        <v>45275.0</v>
      </c>
      <c r="C21" s="4">
        <f t="shared" si="1"/>
        <v>6</v>
      </c>
    </row>
    <row r="22">
      <c r="A22" s="17" t="s">
        <v>83</v>
      </c>
      <c r="B22" s="14">
        <v>45277.0</v>
      </c>
      <c r="C22" s="4">
        <f t="shared" si="1"/>
        <v>1</v>
      </c>
    </row>
    <row r="23">
      <c r="A23" s="18" t="s">
        <v>91</v>
      </c>
      <c r="B23" s="14">
        <v>45279.0</v>
      </c>
      <c r="C23" s="4">
        <f t="shared" si="1"/>
        <v>3</v>
      </c>
    </row>
    <row r="24">
      <c r="A24" s="13" t="s">
        <v>84</v>
      </c>
      <c r="B24" s="14">
        <v>45280.0</v>
      </c>
      <c r="C24" s="4">
        <f t="shared" si="1"/>
        <v>4</v>
      </c>
    </row>
    <row r="25">
      <c r="A25" s="13" t="s">
        <v>81</v>
      </c>
      <c r="B25" s="14">
        <v>45272.0</v>
      </c>
      <c r="C25" s="4">
        <f t="shared" si="1"/>
        <v>3</v>
      </c>
    </row>
    <row r="26">
      <c r="A26" s="13" t="s">
        <v>81</v>
      </c>
      <c r="B26" s="14">
        <v>45273.0</v>
      </c>
      <c r="C26" s="4">
        <f t="shared" si="1"/>
        <v>4</v>
      </c>
    </row>
    <row r="27">
      <c r="A27" s="13" t="s">
        <v>81</v>
      </c>
      <c r="B27" s="14">
        <v>45274.0</v>
      </c>
      <c r="C27" s="4">
        <f t="shared" si="1"/>
        <v>5</v>
      </c>
    </row>
    <row r="28">
      <c r="A28" s="13" t="s">
        <v>81</v>
      </c>
      <c r="B28" s="14">
        <v>45275.0</v>
      </c>
      <c r="C28" s="4">
        <f t="shared" si="1"/>
        <v>6</v>
      </c>
    </row>
    <row r="29">
      <c r="B29" s="19"/>
    </row>
    <row r="30">
      <c r="B30" s="19"/>
    </row>
    <row r="31">
      <c r="B31" s="19"/>
    </row>
    <row r="32">
      <c r="B32" s="19"/>
    </row>
    <row r="33">
      <c r="B33" s="19"/>
    </row>
    <row r="34">
      <c r="B34" s="19"/>
    </row>
    <row r="35">
      <c r="B35" s="19"/>
    </row>
    <row r="36">
      <c r="B36" s="19"/>
    </row>
    <row r="37">
      <c r="B37" s="19"/>
    </row>
    <row r="38">
      <c r="B38" s="19"/>
    </row>
    <row r="39">
      <c r="B39" s="19"/>
    </row>
    <row r="40">
      <c r="B40" s="19"/>
    </row>
    <row r="41">
      <c r="B41" s="19"/>
    </row>
    <row r="42">
      <c r="B42" s="19"/>
    </row>
    <row r="43">
      <c r="B43" s="19"/>
    </row>
    <row r="44">
      <c r="B44" s="19"/>
    </row>
    <row r="45">
      <c r="B45" s="19"/>
    </row>
    <row r="46">
      <c r="B46" s="19"/>
    </row>
    <row r="47">
      <c r="B47" s="19"/>
    </row>
    <row r="48">
      <c r="B48" s="19"/>
    </row>
    <row r="49">
      <c r="B49" s="19"/>
    </row>
    <row r="50">
      <c r="B50" s="19"/>
    </row>
    <row r="51">
      <c r="B51" s="19"/>
    </row>
    <row r="52">
      <c r="B52" s="19"/>
    </row>
    <row r="53">
      <c r="B53" s="19"/>
    </row>
    <row r="54">
      <c r="B54" s="19"/>
    </row>
    <row r="55">
      <c r="B55" s="19"/>
    </row>
    <row r="56">
      <c r="B56" s="19"/>
    </row>
    <row r="57">
      <c r="B57" s="19"/>
    </row>
    <row r="58">
      <c r="B58" s="19"/>
    </row>
    <row r="59">
      <c r="B59" s="19"/>
    </row>
    <row r="60">
      <c r="B60" s="19"/>
    </row>
    <row r="61">
      <c r="B61" s="19"/>
    </row>
    <row r="62">
      <c r="B62" s="19"/>
    </row>
    <row r="63">
      <c r="B63" s="19"/>
    </row>
    <row r="64">
      <c r="B64" s="19"/>
    </row>
    <row r="65">
      <c r="B65" s="19"/>
    </row>
    <row r="66">
      <c r="B66" s="19"/>
    </row>
    <row r="67">
      <c r="B67" s="19"/>
    </row>
    <row r="68">
      <c r="B68" s="19"/>
    </row>
    <row r="69">
      <c r="B69" s="19"/>
    </row>
    <row r="70">
      <c r="B70" s="19"/>
    </row>
    <row r="71">
      <c r="B71" s="19"/>
    </row>
    <row r="72">
      <c r="B72" s="19"/>
    </row>
    <row r="73">
      <c r="B73" s="19"/>
    </row>
    <row r="74">
      <c r="B74" s="19"/>
    </row>
    <row r="75">
      <c r="B75" s="19"/>
    </row>
    <row r="76">
      <c r="B76" s="19"/>
    </row>
    <row r="77">
      <c r="B77" s="19"/>
    </row>
    <row r="78">
      <c r="B78" s="19"/>
    </row>
    <row r="79">
      <c r="B79" s="19"/>
    </row>
    <row r="80">
      <c r="B80" s="19"/>
    </row>
    <row r="81">
      <c r="B81" s="19"/>
    </row>
    <row r="82">
      <c r="B82" s="19"/>
    </row>
    <row r="83">
      <c r="B83" s="19"/>
    </row>
    <row r="84">
      <c r="B84" s="19"/>
    </row>
    <row r="85">
      <c r="B85" s="19"/>
    </row>
    <row r="86">
      <c r="B86" s="19"/>
    </row>
    <row r="87">
      <c r="B87" s="19"/>
    </row>
    <row r="88">
      <c r="B88" s="19"/>
    </row>
    <row r="89">
      <c r="B89" s="19"/>
    </row>
    <row r="90">
      <c r="B90" s="19"/>
    </row>
    <row r="91">
      <c r="B91" s="19"/>
    </row>
    <row r="92">
      <c r="B92" s="19"/>
    </row>
    <row r="93">
      <c r="B93" s="19"/>
    </row>
    <row r="94">
      <c r="B94" s="19"/>
    </row>
    <row r="95">
      <c r="B95" s="19"/>
    </row>
    <row r="96">
      <c r="B96" s="19"/>
    </row>
    <row r="97">
      <c r="B97" s="19"/>
    </row>
    <row r="98">
      <c r="B98" s="19"/>
    </row>
    <row r="99">
      <c r="B99" s="19"/>
    </row>
    <row r="100">
      <c r="B100" s="19"/>
    </row>
    <row r="101">
      <c r="B101" s="19"/>
    </row>
    <row r="102">
      <c r="B102" s="19"/>
    </row>
    <row r="103">
      <c r="B103" s="19"/>
    </row>
    <row r="104">
      <c r="B104" s="19"/>
    </row>
    <row r="105">
      <c r="B105" s="19"/>
    </row>
    <row r="106">
      <c r="B106" s="19"/>
    </row>
    <row r="107">
      <c r="B107" s="19"/>
    </row>
    <row r="108">
      <c r="B108" s="19"/>
    </row>
    <row r="109">
      <c r="B109" s="19"/>
    </row>
    <row r="110">
      <c r="B110" s="19"/>
    </row>
    <row r="111">
      <c r="B111" s="19"/>
    </row>
    <row r="112">
      <c r="B112" s="19"/>
    </row>
    <row r="113">
      <c r="B113" s="19"/>
    </row>
    <row r="114">
      <c r="B114" s="19"/>
    </row>
    <row r="115">
      <c r="B115" s="19"/>
    </row>
    <row r="116">
      <c r="B116" s="19"/>
    </row>
    <row r="117">
      <c r="B117" s="19"/>
    </row>
    <row r="118">
      <c r="B118" s="19"/>
    </row>
    <row r="119">
      <c r="B119" s="19"/>
    </row>
    <row r="120">
      <c r="B120" s="19"/>
    </row>
    <row r="121">
      <c r="B121" s="19"/>
    </row>
    <row r="122">
      <c r="B122" s="19"/>
    </row>
    <row r="123">
      <c r="B123" s="19"/>
    </row>
    <row r="124">
      <c r="B124" s="19"/>
    </row>
    <row r="125">
      <c r="B125" s="19"/>
    </row>
    <row r="126">
      <c r="B126" s="19"/>
    </row>
    <row r="127">
      <c r="B127" s="19"/>
    </row>
    <row r="128">
      <c r="B128" s="19"/>
    </row>
    <row r="129">
      <c r="B129" s="19"/>
    </row>
    <row r="130">
      <c r="B130" s="19"/>
    </row>
    <row r="131">
      <c r="B131" s="19"/>
    </row>
    <row r="132">
      <c r="B132" s="19"/>
    </row>
    <row r="133">
      <c r="B133" s="19"/>
    </row>
    <row r="134">
      <c r="B134" s="19"/>
    </row>
    <row r="135">
      <c r="B135" s="19"/>
    </row>
    <row r="136">
      <c r="B136" s="19"/>
    </row>
    <row r="137">
      <c r="B137" s="19"/>
    </row>
    <row r="138">
      <c r="B138" s="19"/>
    </row>
    <row r="139">
      <c r="B139" s="19"/>
    </row>
    <row r="140">
      <c r="B140" s="19"/>
    </row>
    <row r="141">
      <c r="B141" s="19"/>
    </row>
    <row r="142">
      <c r="B142" s="19"/>
    </row>
    <row r="143">
      <c r="B143" s="19"/>
    </row>
    <row r="144">
      <c r="B144" s="19"/>
    </row>
    <row r="145">
      <c r="B145" s="19"/>
    </row>
    <row r="146">
      <c r="B146" s="19"/>
    </row>
    <row r="147">
      <c r="B147" s="19"/>
    </row>
    <row r="148">
      <c r="B148" s="19"/>
    </row>
    <row r="149">
      <c r="B149" s="19"/>
    </row>
    <row r="150">
      <c r="B150" s="19"/>
    </row>
    <row r="151">
      <c r="B151" s="19"/>
    </row>
    <row r="152">
      <c r="B152" s="19"/>
    </row>
    <row r="153">
      <c r="B153" s="19"/>
    </row>
    <row r="154">
      <c r="B154" s="19"/>
    </row>
    <row r="155">
      <c r="B155" s="19"/>
    </row>
    <row r="156">
      <c r="B156" s="19"/>
    </row>
    <row r="157">
      <c r="B157" s="19"/>
    </row>
    <row r="158">
      <c r="B158" s="19"/>
    </row>
    <row r="159">
      <c r="B159" s="19"/>
    </row>
    <row r="160">
      <c r="B160" s="19"/>
    </row>
    <row r="161">
      <c r="B161" s="19"/>
    </row>
    <row r="162">
      <c r="B162" s="19"/>
    </row>
    <row r="163">
      <c r="B163" s="19"/>
    </row>
    <row r="164">
      <c r="B164" s="19"/>
    </row>
    <row r="165">
      <c r="B165" s="19"/>
    </row>
    <row r="166">
      <c r="B166" s="19"/>
    </row>
    <row r="167">
      <c r="B167" s="19"/>
    </row>
    <row r="168">
      <c r="B168" s="19"/>
    </row>
    <row r="169">
      <c r="B169" s="19"/>
    </row>
    <row r="170">
      <c r="B170" s="19"/>
    </row>
    <row r="171">
      <c r="B171" s="19"/>
    </row>
    <row r="172">
      <c r="B172" s="19"/>
    </row>
    <row r="173">
      <c r="B173" s="19"/>
    </row>
    <row r="174">
      <c r="B174" s="19"/>
    </row>
    <row r="175">
      <c r="B175" s="19"/>
    </row>
    <row r="176">
      <c r="B176" s="19"/>
    </row>
    <row r="177">
      <c r="B177" s="19"/>
    </row>
    <row r="178">
      <c r="B178" s="19"/>
    </row>
    <row r="179">
      <c r="B179" s="19"/>
    </row>
    <row r="180">
      <c r="B180" s="19"/>
    </row>
    <row r="181">
      <c r="B181" s="19"/>
    </row>
    <row r="182">
      <c r="B182" s="19"/>
    </row>
    <row r="183">
      <c r="B183" s="19"/>
    </row>
    <row r="184">
      <c r="B184" s="19"/>
    </row>
    <row r="185">
      <c r="B185" s="19"/>
    </row>
    <row r="186">
      <c r="B186" s="19"/>
    </row>
    <row r="187">
      <c r="B187" s="19"/>
    </row>
    <row r="188">
      <c r="B188" s="19"/>
    </row>
    <row r="189">
      <c r="B189" s="19"/>
    </row>
    <row r="190">
      <c r="B190" s="19"/>
    </row>
    <row r="191">
      <c r="B191" s="19"/>
    </row>
    <row r="192">
      <c r="B192" s="19"/>
    </row>
    <row r="193">
      <c r="B193" s="19"/>
    </row>
    <row r="194">
      <c r="B194" s="19"/>
    </row>
    <row r="195">
      <c r="B195" s="19"/>
    </row>
    <row r="196">
      <c r="B196" s="19"/>
    </row>
    <row r="197">
      <c r="B197" s="19"/>
    </row>
    <row r="198">
      <c r="B198" s="19"/>
    </row>
    <row r="199">
      <c r="B199" s="19"/>
    </row>
    <row r="200">
      <c r="B200" s="19"/>
    </row>
    <row r="201">
      <c r="B201" s="19"/>
    </row>
    <row r="202">
      <c r="B202" s="19"/>
    </row>
    <row r="203">
      <c r="B203" s="19"/>
    </row>
    <row r="204">
      <c r="B204" s="19"/>
    </row>
    <row r="205">
      <c r="B205" s="19"/>
    </row>
    <row r="206">
      <c r="B206" s="19"/>
    </row>
    <row r="207">
      <c r="B207" s="19"/>
    </row>
    <row r="208">
      <c r="B208" s="19"/>
    </row>
    <row r="209">
      <c r="B209" s="19"/>
    </row>
    <row r="210">
      <c r="B210" s="19"/>
    </row>
    <row r="211">
      <c r="B211" s="19"/>
    </row>
    <row r="212">
      <c r="B212" s="19"/>
    </row>
    <row r="213">
      <c r="B213" s="19"/>
    </row>
    <row r="214">
      <c r="B214" s="19"/>
    </row>
    <row r="215">
      <c r="B215" s="19"/>
    </row>
    <row r="216">
      <c r="B216" s="19"/>
    </row>
    <row r="217">
      <c r="B217" s="19"/>
    </row>
    <row r="218">
      <c r="B218" s="19"/>
    </row>
    <row r="219">
      <c r="B219" s="19"/>
    </row>
    <row r="220">
      <c r="B220" s="19"/>
    </row>
    <row r="221">
      <c r="B221" s="19"/>
    </row>
    <row r="222">
      <c r="B222" s="19"/>
    </row>
    <row r="223">
      <c r="B223" s="19"/>
    </row>
    <row r="224">
      <c r="B224" s="19"/>
    </row>
    <row r="225">
      <c r="B225" s="19"/>
    </row>
    <row r="226">
      <c r="B226" s="19"/>
    </row>
    <row r="227">
      <c r="B227" s="19"/>
    </row>
    <row r="228">
      <c r="B228" s="19"/>
    </row>
    <row r="229">
      <c r="B229" s="19"/>
    </row>
    <row r="230">
      <c r="B230" s="19"/>
    </row>
    <row r="231">
      <c r="B231" s="19"/>
    </row>
    <row r="232">
      <c r="B232" s="19"/>
    </row>
    <row r="233">
      <c r="B233" s="19"/>
    </row>
    <row r="234">
      <c r="B234" s="19"/>
    </row>
    <row r="235">
      <c r="B235" s="19"/>
    </row>
    <row r="236">
      <c r="B236" s="19"/>
    </row>
    <row r="237">
      <c r="B237" s="19"/>
    </row>
    <row r="238">
      <c r="B238" s="19"/>
    </row>
    <row r="239">
      <c r="B239" s="19"/>
    </row>
    <row r="240">
      <c r="B240" s="19"/>
    </row>
    <row r="241">
      <c r="B241" s="19"/>
    </row>
    <row r="242">
      <c r="B242" s="19"/>
    </row>
    <row r="243">
      <c r="B243" s="19"/>
    </row>
    <row r="244">
      <c r="B244" s="19"/>
    </row>
    <row r="245">
      <c r="B245" s="19"/>
    </row>
    <row r="246">
      <c r="B246" s="19"/>
    </row>
    <row r="247">
      <c r="B247" s="19"/>
    </row>
    <row r="248">
      <c r="B248" s="19"/>
    </row>
    <row r="249">
      <c r="B249" s="19"/>
    </row>
    <row r="250">
      <c r="B250" s="19"/>
    </row>
    <row r="251">
      <c r="B251" s="19"/>
    </row>
    <row r="252">
      <c r="B252" s="19"/>
    </row>
    <row r="253">
      <c r="B253" s="19"/>
    </row>
    <row r="254">
      <c r="B254" s="19"/>
    </row>
    <row r="255">
      <c r="B255" s="19"/>
    </row>
    <row r="256">
      <c r="B256" s="19"/>
    </row>
    <row r="257">
      <c r="B257" s="19"/>
    </row>
    <row r="258">
      <c r="B258" s="19"/>
    </row>
    <row r="259">
      <c r="B259" s="19"/>
    </row>
    <row r="260">
      <c r="B260" s="19"/>
    </row>
    <row r="261">
      <c r="B261" s="19"/>
    </row>
    <row r="262">
      <c r="B262" s="19"/>
    </row>
    <row r="263">
      <c r="B263" s="19"/>
    </row>
    <row r="264">
      <c r="B264" s="19"/>
    </row>
    <row r="265">
      <c r="B265" s="19"/>
    </row>
    <row r="266">
      <c r="B266" s="19"/>
    </row>
    <row r="267">
      <c r="B267" s="19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</sheetData>
  <mergeCells count="1">
    <mergeCell ref="A2: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25.63"/>
    <col customWidth="1" min="3" max="3" width="6.5"/>
    <col customWidth="1" min="4" max="4" width="27.25"/>
  </cols>
  <sheetData>
    <row r="1">
      <c r="B1" s="7" t="s">
        <v>66</v>
      </c>
      <c r="C1" s="3" t="s">
        <v>86</v>
      </c>
      <c r="D1" s="1" t="s">
        <v>92</v>
      </c>
      <c r="E1" s="1" t="s">
        <v>93</v>
      </c>
      <c r="F1" s="1" t="s">
        <v>94</v>
      </c>
    </row>
    <row r="2" hidden="1">
      <c r="B2" s="7">
        <v>45173.0</v>
      </c>
      <c r="C2" s="4">
        <f t="shared" ref="C2:C117" si="1">WEEKDAY(B2)</f>
        <v>2</v>
      </c>
      <c r="D2" s="1" t="s">
        <v>95</v>
      </c>
    </row>
    <row r="3">
      <c r="A3" s="1" t="s">
        <v>9</v>
      </c>
      <c r="B3" s="7">
        <v>45173.0</v>
      </c>
      <c r="C3" s="4">
        <f t="shared" si="1"/>
        <v>2</v>
      </c>
      <c r="D3" s="20" t="s">
        <v>96</v>
      </c>
      <c r="E3" s="1">
        <v>1.0</v>
      </c>
    </row>
    <row r="4" hidden="1">
      <c r="B4" s="7">
        <v>45175.0</v>
      </c>
      <c r="C4" s="4">
        <f t="shared" si="1"/>
        <v>4</v>
      </c>
      <c r="D4" s="1" t="s">
        <v>95</v>
      </c>
    </row>
    <row r="5">
      <c r="A5" s="4" t="s">
        <v>12</v>
      </c>
      <c r="B5" s="8">
        <v>45175.0</v>
      </c>
      <c r="C5" s="4">
        <f t="shared" si="1"/>
        <v>4</v>
      </c>
      <c r="D5" s="20" t="s">
        <v>96</v>
      </c>
      <c r="E5" s="1">
        <v>2.0</v>
      </c>
    </row>
    <row r="6">
      <c r="A6" s="1" t="s">
        <v>68</v>
      </c>
      <c r="B6" s="7">
        <v>45176.0</v>
      </c>
      <c r="C6" s="4">
        <f t="shared" si="1"/>
        <v>5</v>
      </c>
      <c r="D6" s="1" t="s">
        <v>97</v>
      </c>
    </row>
    <row r="7">
      <c r="A7" s="3" t="s">
        <v>69</v>
      </c>
      <c r="B7" s="7">
        <v>45176.0</v>
      </c>
      <c r="C7" s="4">
        <f t="shared" si="1"/>
        <v>5</v>
      </c>
      <c r="D7" s="1" t="s">
        <v>98</v>
      </c>
    </row>
    <row r="8" hidden="1">
      <c r="B8" s="7">
        <v>45177.0</v>
      </c>
      <c r="C8" s="4">
        <f t="shared" si="1"/>
        <v>6</v>
      </c>
      <c r="D8" s="1" t="s">
        <v>95</v>
      </c>
    </row>
    <row r="9">
      <c r="A9" s="4" t="s">
        <v>14</v>
      </c>
      <c r="B9" s="7">
        <v>45177.0</v>
      </c>
      <c r="C9" s="4">
        <f t="shared" si="1"/>
        <v>6</v>
      </c>
      <c r="D9" s="20" t="s">
        <v>96</v>
      </c>
      <c r="E9" s="1">
        <v>4.0</v>
      </c>
    </row>
    <row r="10">
      <c r="A10" s="3" t="s">
        <v>70</v>
      </c>
      <c r="B10" s="7">
        <v>45177.0</v>
      </c>
      <c r="C10" s="4">
        <f t="shared" si="1"/>
        <v>6</v>
      </c>
      <c r="D10" s="1" t="s">
        <v>98</v>
      </c>
    </row>
    <row r="11" hidden="1">
      <c r="B11" s="7">
        <v>45180.0</v>
      </c>
      <c r="C11" s="4">
        <f t="shared" si="1"/>
        <v>2</v>
      </c>
      <c r="D11" s="1" t="s">
        <v>95</v>
      </c>
    </row>
    <row r="12">
      <c r="A12" s="4" t="s">
        <v>15</v>
      </c>
      <c r="B12" s="7">
        <v>45180.0</v>
      </c>
      <c r="C12" s="4">
        <f t="shared" si="1"/>
        <v>2</v>
      </c>
      <c r="D12" s="20" t="s">
        <v>96</v>
      </c>
      <c r="E12" s="1">
        <v>5.0</v>
      </c>
    </row>
    <row r="13">
      <c r="A13" s="3" t="s">
        <v>71</v>
      </c>
      <c r="B13" s="7">
        <v>45180.0</v>
      </c>
      <c r="C13" s="4">
        <f t="shared" si="1"/>
        <v>2</v>
      </c>
      <c r="D13" s="1" t="s">
        <v>98</v>
      </c>
    </row>
    <row r="14" hidden="1">
      <c r="B14" s="7">
        <v>45182.0</v>
      </c>
      <c r="C14" s="4">
        <f t="shared" si="1"/>
        <v>4</v>
      </c>
      <c r="D14" s="1" t="s">
        <v>95</v>
      </c>
    </row>
    <row r="15">
      <c r="A15" s="4" t="s">
        <v>16</v>
      </c>
      <c r="B15" s="7">
        <v>45182.0</v>
      </c>
      <c r="C15" s="4">
        <f t="shared" si="1"/>
        <v>4</v>
      </c>
      <c r="D15" s="20" t="s">
        <v>96</v>
      </c>
      <c r="E15" s="1">
        <v>6.0</v>
      </c>
    </row>
    <row r="16">
      <c r="A16" s="1" t="s">
        <v>68</v>
      </c>
      <c r="B16" s="7">
        <v>45183.0</v>
      </c>
      <c r="C16" s="4">
        <f t="shared" si="1"/>
        <v>5</v>
      </c>
      <c r="D16" s="1" t="s">
        <v>97</v>
      </c>
    </row>
    <row r="17" hidden="1">
      <c r="B17" s="7">
        <v>45184.0</v>
      </c>
      <c r="C17" s="4">
        <f t="shared" si="1"/>
        <v>6</v>
      </c>
      <c r="D17" s="1" t="s">
        <v>95</v>
      </c>
    </row>
    <row r="18">
      <c r="A18" s="4" t="s">
        <v>17</v>
      </c>
      <c r="B18" s="7">
        <v>45184.0</v>
      </c>
      <c r="C18" s="4">
        <f t="shared" si="1"/>
        <v>6</v>
      </c>
      <c r="D18" s="20" t="s">
        <v>96</v>
      </c>
      <c r="E18" s="1">
        <v>8.0</v>
      </c>
    </row>
    <row r="19">
      <c r="A19" s="3" t="s">
        <v>72</v>
      </c>
      <c r="B19" s="7">
        <v>45184.0</v>
      </c>
      <c r="C19" s="4">
        <f t="shared" si="1"/>
        <v>6</v>
      </c>
      <c r="D19" s="1" t="s">
        <v>98</v>
      </c>
    </row>
    <row r="20" hidden="1">
      <c r="B20" s="7">
        <v>45187.0</v>
      </c>
      <c r="C20" s="4">
        <f t="shared" si="1"/>
        <v>2</v>
      </c>
      <c r="D20" s="1" t="s">
        <v>95</v>
      </c>
    </row>
    <row r="21">
      <c r="A21" s="4" t="s">
        <v>18</v>
      </c>
      <c r="B21" s="7">
        <v>45187.0</v>
      </c>
      <c r="C21" s="4">
        <f t="shared" si="1"/>
        <v>2</v>
      </c>
      <c r="D21" s="20" t="s">
        <v>96</v>
      </c>
      <c r="E21" s="1">
        <v>9.0</v>
      </c>
    </row>
    <row r="22" hidden="1">
      <c r="B22" s="7">
        <v>45189.0</v>
      </c>
      <c r="C22" s="4">
        <f t="shared" si="1"/>
        <v>4</v>
      </c>
      <c r="D22" s="1" t="s">
        <v>95</v>
      </c>
    </row>
    <row r="23">
      <c r="A23" s="4" t="s">
        <v>19</v>
      </c>
      <c r="B23" s="7">
        <v>45189.0</v>
      </c>
      <c r="C23" s="4">
        <f t="shared" si="1"/>
        <v>4</v>
      </c>
      <c r="D23" s="20" t="s">
        <v>96</v>
      </c>
      <c r="E23" s="1">
        <v>10.0</v>
      </c>
    </row>
    <row r="24">
      <c r="A24" s="1" t="s">
        <v>68</v>
      </c>
      <c r="B24" s="7">
        <v>45190.0</v>
      </c>
      <c r="C24" s="4">
        <f t="shared" si="1"/>
        <v>5</v>
      </c>
      <c r="D24" s="1" t="s">
        <v>97</v>
      </c>
    </row>
    <row r="25" hidden="1">
      <c r="B25" s="7">
        <v>45191.0</v>
      </c>
      <c r="C25" s="4">
        <f t="shared" si="1"/>
        <v>6</v>
      </c>
      <c r="D25" s="1" t="s">
        <v>95</v>
      </c>
    </row>
    <row r="26">
      <c r="A26" s="4" t="s">
        <v>21</v>
      </c>
      <c r="B26" s="7">
        <v>45191.0</v>
      </c>
      <c r="C26" s="4">
        <f t="shared" si="1"/>
        <v>6</v>
      </c>
      <c r="D26" s="20" t="s">
        <v>96</v>
      </c>
      <c r="E26" s="1">
        <v>12.0</v>
      </c>
    </row>
    <row r="27" hidden="1">
      <c r="B27" s="7">
        <v>45194.0</v>
      </c>
      <c r="C27" s="4">
        <f t="shared" si="1"/>
        <v>2</v>
      </c>
      <c r="D27" s="1" t="s">
        <v>95</v>
      </c>
    </row>
    <row r="28">
      <c r="A28" s="4" t="s">
        <v>22</v>
      </c>
      <c r="B28" s="7">
        <v>45194.0</v>
      </c>
      <c r="C28" s="4">
        <f t="shared" si="1"/>
        <v>2</v>
      </c>
      <c r="D28" s="20" t="s">
        <v>96</v>
      </c>
      <c r="E28" s="1">
        <v>13.0</v>
      </c>
    </row>
    <row r="29" hidden="1">
      <c r="B29" s="7">
        <v>45196.0</v>
      </c>
      <c r="C29" s="4">
        <f t="shared" si="1"/>
        <v>4</v>
      </c>
      <c r="D29" s="1" t="s">
        <v>95</v>
      </c>
    </row>
    <row r="30">
      <c r="A30" s="4" t="s">
        <v>23</v>
      </c>
      <c r="B30" s="7">
        <v>45196.0</v>
      </c>
      <c r="C30" s="4">
        <f t="shared" si="1"/>
        <v>4</v>
      </c>
      <c r="D30" s="20" t="s">
        <v>96</v>
      </c>
      <c r="E30" s="1">
        <v>14.0</v>
      </c>
    </row>
    <row r="31">
      <c r="A31" s="1" t="s">
        <v>68</v>
      </c>
      <c r="B31" s="7">
        <v>45197.0</v>
      </c>
      <c r="C31" s="4">
        <f t="shared" si="1"/>
        <v>5</v>
      </c>
      <c r="D31" s="1" t="s">
        <v>97</v>
      </c>
    </row>
    <row r="32" hidden="1">
      <c r="B32" s="7">
        <v>45198.0</v>
      </c>
      <c r="C32" s="4">
        <f t="shared" si="1"/>
        <v>6</v>
      </c>
      <c r="D32" s="1" t="s">
        <v>95</v>
      </c>
    </row>
    <row r="33">
      <c r="A33" s="4" t="s">
        <v>24</v>
      </c>
      <c r="B33" s="9">
        <v>45198.0</v>
      </c>
      <c r="C33" s="4">
        <f t="shared" si="1"/>
        <v>6</v>
      </c>
      <c r="D33" s="20" t="s">
        <v>96</v>
      </c>
      <c r="E33" s="1">
        <v>16.0</v>
      </c>
    </row>
    <row r="34" hidden="1">
      <c r="B34" s="7">
        <v>45201.0</v>
      </c>
      <c r="C34" s="4">
        <f t="shared" si="1"/>
        <v>2</v>
      </c>
      <c r="D34" s="1" t="s">
        <v>95</v>
      </c>
    </row>
    <row r="35">
      <c r="A35" s="4" t="s">
        <v>25</v>
      </c>
      <c r="B35" s="9">
        <v>45201.0</v>
      </c>
      <c r="C35" s="4">
        <f t="shared" si="1"/>
        <v>2</v>
      </c>
      <c r="D35" s="20" t="s">
        <v>96</v>
      </c>
      <c r="E35" s="1">
        <v>17.0</v>
      </c>
    </row>
    <row r="36" hidden="1">
      <c r="B36" s="7">
        <v>45203.0</v>
      </c>
      <c r="C36" s="4">
        <f t="shared" si="1"/>
        <v>4</v>
      </c>
      <c r="D36" s="1" t="s">
        <v>95</v>
      </c>
    </row>
    <row r="37">
      <c r="A37" s="4" t="s">
        <v>26</v>
      </c>
      <c r="B37" s="9">
        <v>45203.0</v>
      </c>
      <c r="C37" s="4">
        <f t="shared" si="1"/>
        <v>4</v>
      </c>
      <c r="D37" s="20" t="s">
        <v>96</v>
      </c>
      <c r="E37" s="1">
        <v>18.0</v>
      </c>
    </row>
    <row r="38">
      <c r="A38" s="1" t="s">
        <v>68</v>
      </c>
      <c r="B38" s="7">
        <v>45204.0</v>
      </c>
      <c r="C38" s="4">
        <f t="shared" si="1"/>
        <v>5</v>
      </c>
      <c r="D38" s="1" t="s">
        <v>97</v>
      </c>
    </row>
    <row r="39" hidden="1">
      <c r="B39" s="7">
        <v>45205.0</v>
      </c>
      <c r="C39" s="4">
        <f t="shared" si="1"/>
        <v>6</v>
      </c>
      <c r="D39" s="1" t="s">
        <v>95</v>
      </c>
    </row>
    <row r="40">
      <c r="A40" s="4" t="s">
        <v>27</v>
      </c>
      <c r="B40" s="9">
        <v>45205.0</v>
      </c>
      <c r="C40" s="4">
        <f t="shared" si="1"/>
        <v>6</v>
      </c>
      <c r="D40" s="20" t="s">
        <v>96</v>
      </c>
      <c r="E40" s="1">
        <v>20.0</v>
      </c>
    </row>
    <row r="41" hidden="1">
      <c r="B41" s="7">
        <v>45208.0</v>
      </c>
      <c r="C41" s="4">
        <f t="shared" si="1"/>
        <v>2</v>
      </c>
      <c r="D41" s="1" t="s">
        <v>95</v>
      </c>
    </row>
    <row r="42">
      <c r="A42" s="4" t="s">
        <v>28</v>
      </c>
      <c r="B42" s="9">
        <v>45208.0</v>
      </c>
      <c r="C42" s="4">
        <f t="shared" si="1"/>
        <v>2</v>
      </c>
      <c r="D42" s="20" t="s">
        <v>96</v>
      </c>
      <c r="E42" s="1">
        <v>21.0</v>
      </c>
    </row>
    <row r="43" hidden="1">
      <c r="B43" s="7">
        <v>45210.0</v>
      </c>
      <c r="C43" s="4">
        <f t="shared" si="1"/>
        <v>4</v>
      </c>
      <c r="D43" s="1" t="s">
        <v>95</v>
      </c>
    </row>
    <row r="44">
      <c r="A44" s="4" t="s">
        <v>29</v>
      </c>
      <c r="B44" s="9">
        <v>45210.0</v>
      </c>
      <c r="C44" s="4">
        <f t="shared" si="1"/>
        <v>4</v>
      </c>
      <c r="D44" s="20" t="s">
        <v>96</v>
      </c>
      <c r="E44" s="1">
        <v>22.0</v>
      </c>
    </row>
    <row r="45">
      <c r="A45" s="1" t="s">
        <v>68</v>
      </c>
      <c r="B45" s="7">
        <v>45211.0</v>
      </c>
      <c r="C45" s="4">
        <f t="shared" si="1"/>
        <v>5</v>
      </c>
      <c r="D45" s="1" t="s">
        <v>97</v>
      </c>
    </row>
    <row r="46" hidden="1">
      <c r="B46" s="7">
        <v>45212.0</v>
      </c>
      <c r="C46" s="4">
        <f t="shared" si="1"/>
        <v>6</v>
      </c>
      <c r="D46" s="1" t="s">
        <v>95</v>
      </c>
    </row>
    <row r="47">
      <c r="A47" s="4" t="s">
        <v>30</v>
      </c>
      <c r="B47" s="9">
        <v>45212.0</v>
      </c>
      <c r="C47" s="4">
        <f t="shared" si="1"/>
        <v>6</v>
      </c>
      <c r="D47" s="20" t="s">
        <v>96</v>
      </c>
      <c r="E47" s="1">
        <v>24.0</v>
      </c>
    </row>
    <row r="48" hidden="1">
      <c r="B48" s="7">
        <v>45215.0</v>
      </c>
      <c r="C48" s="4">
        <f t="shared" si="1"/>
        <v>2</v>
      </c>
      <c r="D48" s="1" t="s">
        <v>95</v>
      </c>
    </row>
    <row r="49">
      <c r="A49" s="4" t="s">
        <v>32</v>
      </c>
      <c r="B49" s="9">
        <v>45215.0</v>
      </c>
      <c r="C49" s="4">
        <f t="shared" si="1"/>
        <v>2</v>
      </c>
      <c r="D49" s="20" t="s">
        <v>96</v>
      </c>
      <c r="E49" s="1">
        <v>26.0</v>
      </c>
    </row>
    <row r="50" hidden="1">
      <c r="B50" s="7">
        <v>45217.0</v>
      </c>
      <c r="C50" s="4">
        <f t="shared" si="1"/>
        <v>4</v>
      </c>
      <c r="D50" s="1" t="s">
        <v>95</v>
      </c>
    </row>
    <row r="51">
      <c r="A51" s="4" t="s">
        <v>34</v>
      </c>
      <c r="B51" s="9">
        <v>45217.0</v>
      </c>
      <c r="C51" s="4">
        <f t="shared" si="1"/>
        <v>4</v>
      </c>
      <c r="D51" s="20" t="s">
        <v>96</v>
      </c>
      <c r="E51" s="1">
        <v>27.0</v>
      </c>
    </row>
    <row r="52">
      <c r="A52" s="1" t="s">
        <v>68</v>
      </c>
      <c r="B52" s="7">
        <v>45218.0</v>
      </c>
      <c r="C52" s="4">
        <f t="shared" si="1"/>
        <v>5</v>
      </c>
      <c r="D52" s="1" t="s">
        <v>97</v>
      </c>
    </row>
    <row r="53" hidden="1">
      <c r="B53" s="7">
        <v>45219.0</v>
      </c>
      <c r="C53" s="4">
        <f t="shared" si="1"/>
        <v>6</v>
      </c>
      <c r="D53" s="1" t="s">
        <v>95</v>
      </c>
    </row>
    <row r="54">
      <c r="A54" s="4" t="s">
        <v>37</v>
      </c>
      <c r="B54" s="9">
        <v>45219.0</v>
      </c>
      <c r="C54" s="4">
        <f t="shared" si="1"/>
        <v>6</v>
      </c>
      <c r="D54" s="20" t="s">
        <v>96</v>
      </c>
      <c r="E54" s="1">
        <v>31.0</v>
      </c>
    </row>
    <row r="55" hidden="1">
      <c r="B55" s="7">
        <v>45222.0</v>
      </c>
      <c r="C55" s="4">
        <f t="shared" si="1"/>
        <v>2</v>
      </c>
      <c r="D55" s="1" t="s">
        <v>95</v>
      </c>
    </row>
    <row r="56">
      <c r="A56" s="4" t="s">
        <v>38</v>
      </c>
      <c r="B56" s="9">
        <v>45222.0</v>
      </c>
      <c r="C56" s="4">
        <f t="shared" si="1"/>
        <v>2</v>
      </c>
      <c r="D56" s="20" t="s">
        <v>96</v>
      </c>
      <c r="E56" s="1">
        <v>32.0</v>
      </c>
    </row>
    <row r="57" ht="16.5" hidden="1" customHeight="1">
      <c r="B57" s="7">
        <v>45224.0</v>
      </c>
      <c r="C57" s="4">
        <f t="shared" si="1"/>
        <v>4</v>
      </c>
      <c r="D57" s="1" t="s">
        <v>95</v>
      </c>
    </row>
    <row r="58">
      <c r="A58" s="4" t="s">
        <v>39</v>
      </c>
      <c r="B58" s="9">
        <v>45224.0</v>
      </c>
      <c r="C58" s="4">
        <f t="shared" si="1"/>
        <v>4</v>
      </c>
      <c r="D58" s="20" t="s">
        <v>96</v>
      </c>
      <c r="E58" s="1">
        <v>34.0</v>
      </c>
    </row>
    <row r="59">
      <c r="A59" s="1" t="s">
        <v>68</v>
      </c>
      <c r="B59" s="7">
        <v>45225.0</v>
      </c>
      <c r="C59" s="4">
        <f t="shared" si="1"/>
        <v>5</v>
      </c>
      <c r="D59" s="1" t="s">
        <v>97</v>
      </c>
    </row>
    <row r="60">
      <c r="A60" s="3" t="s">
        <v>89</v>
      </c>
      <c r="B60" s="7">
        <v>45225.0</v>
      </c>
      <c r="C60" s="4">
        <f t="shared" si="1"/>
        <v>5</v>
      </c>
      <c r="D60" s="1" t="s">
        <v>98</v>
      </c>
      <c r="F60" s="1" t="s">
        <v>99</v>
      </c>
    </row>
    <row r="61" hidden="1">
      <c r="B61" s="7">
        <v>45226.0</v>
      </c>
      <c r="C61" s="4">
        <f t="shared" si="1"/>
        <v>6</v>
      </c>
      <c r="D61" s="1" t="s">
        <v>95</v>
      </c>
    </row>
    <row r="62">
      <c r="A62" s="4" t="s">
        <v>40</v>
      </c>
      <c r="B62" s="9">
        <v>45226.0</v>
      </c>
      <c r="C62" s="4">
        <f t="shared" si="1"/>
        <v>6</v>
      </c>
      <c r="D62" s="20" t="s">
        <v>96</v>
      </c>
      <c r="E62" s="1">
        <v>35.0</v>
      </c>
    </row>
    <row r="63">
      <c r="A63" s="3" t="s">
        <v>74</v>
      </c>
      <c r="B63" s="7">
        <v>45226.0</v>
      </c>
      <c r="C63" s="4">
        <f t="shared" si="1"/>
        <v>6</v>
      </c>
      <c r="D63" s="1" t="s">
        <v>98</v>
      </c>
    </row>
    <row r="64" hidden="1">
      <c r="B64" s="7">
        <v>45229.0</v>
      </c>
      <c r="C64" s="4">
        <f t="shared" si="1"/>
        <v>2</v>
      </c>
      <c r="D64" s="1" t="s">
        <v>95</v>
      </c>
    </row>
    <row r="65">
      <c r="A65" s="4" t="s">
        <v>41</v>
      </c>
      <c r="B65" s="9">
        <v>45229.0</v>
      </c>
      <c r="C65" s="4">
        <f t="shared" si="1"/>
        <v>2</v>
      </c>
      <c r="D65" s="20" t="s">
        <v>96</v>
      </c>
      <c r="E65" s="1">
        <v>36.0</v>
      </c>
    </row>
    <row r="66" hidden="1">
      <c r="B66" s="7">
        <v>45231.0</v>
      </c>
      <c r="C66" s="4">
        <f t="shared" si="1"/>
        <v>4</v>
      </c>
      <c r="D66" s="1" t="s">
        <v>95</v>
      </c>
    </row>
    <row r="67">
      <c r="A67" s="1" t="s">
        <v>42</v>
      </c>
      <c r="B67" s="9">
        <v>45231.0</v>
      </c>
      <c r="C67" s="4">
        <f t="shared" si="1"/>
        <v>4</v>
      </c>
      <c r="D67" s="20" t="s">
        <v>96</v>
      </c>
      <c r="E67" s="1">
        <v>38.0</v>
      </c>
    </row>
    <row r="68">
      <c r="A68" s="1" t="s">
        <v>68</v>
      </c>
      <c r="B68" s="7">
        <v>45232.0</v>
      </c>
      <c r="C68" s="4">
        <f t="shared" si="1"/>
        <v>5</v>
      </c>
      <c r="D68" s="1" t="s">
        <v>97</v>
      </c>
    </row>
    <row r="69" hidden="1">
      <c r="B69" s="7">
        <v>45233.0</v>
      </c>
      <c r="C69" s="4">
        <f t="shared" si="1"/>
        <v>6</v>
      </c>
      <c r="D69" s="1" t="s">
        <v>95</v>
      </c>
    </row>
    <row r="70">
      <c r="A70" s="4" t="s">
        <v>45</v>
      </c>
      <c r="B70" s="9">
        <v>45233.0</v>
      </c>
      <c r="C70" s="4">
        <f t="shared" si="1"/>
        <v>6</v>
      </c>
      <c r="D70" s="20" t="s">
        <v>96</v>
      </c>
      <c r="E70" s="1">
        <v>39.0</v>
      </c>
    </row>
    <row r="71" hidden="1">
      <c r="B71" s="7">
        <v>45236.0</v>
      </c>
      <c r="C71" s="4">
        <f t="shared" si="1"/>
        <v>2</v>
      </c>
      <c r="D71" s="1" t="s">
        <v>95</v>
      </c>
    </row>
    <row r="72">
      <c r="A72" s="4" t="s">
        <v>46</v>
      </c>
      <c r="B72" s="9">
        <v>45236.0</v>
      </c>
      <c r="C72" s="4">
        <f t="shared" si="1"/>
        <v>2</v>
      </c>
      <c r="D72" s="20" t="s">
        <v>96</v>
      </c>
      <c r="E72" s="1">
        <v>40.0</v>
      </c>
    </row>
    <row r="73" hidden="1">
      <c r="B73" s="7">
        <v>45238.0</v>
      </c>
      <c r="C73" s="4">
        <f t="shared" si="1"/>
        <v>4</v>
      </c>
      <c r="D73" s="1" t="s">
        <v>95</v>
      </c>
    </row>
    <row r="74">
      <c r="A74" s="4" t="s">
        <v>47</v>
      </c>
      <c r="B74" s="9">
        <v>45238.0</v>
      </c>
      <c r="C74" s="4">
        <f t="shared" si="1"/>
        <v>4</v>
      </c>
      <c r="D74" s="20" t="s">
        <v>96</v>
      </c>
      <c r="E74" s="1">
        <v>42.0</v>
      </c>
    </row>
    <row r="75">
      <c r="A75" s="1" t="s">
        <v>68</v>
      </c>
      <c r="B75" s="7">
        <v>45239.0</v>
      </c>
      <c r="C75" s="4">
        <f t="shared" si="1"/>
        <v>5</v>
      </c>
      <c r="D75" s="1" t="s">
        <v>97</v>
      </c>
    </row>
    <row r="76">
      <c r="A76" s="3" t="s">
        <v>76</v>
      </c>
      <c r="B76" s="7">
        <v>45240.0</v>
      </c>
      <c r="C76" s="4">
        <f t="shared" si="1"/>
        <v>6</v>
      </c>
      <c r="D76" s="1" t="s">
        <v>98</v>
      </c>
    </row>
    <row r="77">
      <c r="A77" s="3" t="s">
        <v>77</v>
      </c>
      <c r="B77" s="7">
        <v>45240.0</v>
      </c>
      <c r="C77" s="4">
        <f t="shared" si="1"/>
        <v>6</v>
      </c>
      <c r="D77" s="1" t="s">
        <v>98</v>
      </c>
    </row>
    <row r="78" hidden="1">
      <c r="B78" s="7">
        <v>45243.0</v>
      </c>
      <c r="C78" s="4">
        <f t="shared" si="1"/>
        <v>2</v>
      </c>
      <c r="D78" s="1" t="s">
        <v>95</v>
      </c>
    </row>
    <row r="79">
      <c r="A79" s="4" t="s">
        <v>48</v>
      </c>
      <c r="B79" s="9">
        <v>45243.0</v>
      </c>
      <c r="C79" s="4">
        <f t="shared" si="1"/>
        <v>2</v>
      </c>
      <c r="D79" s="20" t="s">
        <v>96</v>
      </c>
      <c r="E79" s="1">
        <v>43.0</v>
      </c>
    </row>
    <row r="80">
      <c r="A80" s="3" t="s">
        <v>78</v>
      </c>
      <c r="B80" s="7">
        <v>45243.0</v>
      </c>
      <c r="C80" s="4">
        <f t="shared" si="1"/>
        <v>2</v>
      </c>
      <c r="D80" s="1" t="s">
        <v>98</v>
      </c>
      <c r="F80" s="1" t="s">
        <v>99</v>
      </c>
    </row>
    <row r="81" hidden="1">
      <c r="B81" s="7">
        <v>45245.0</v>
      </c>
      <c r="C81" s="4">
        <f t="shared" si="1"/>
        <v>4</v>
      </c>
      <c r="D81" s="1" t="s">
        <v>95</v>
      </c>
    </row>
    <row r="82">
      <c r="A82" s="4" t="s">
        <v>49</v>
      </c>
      <c r="B82" s="9">
        <v>45245.0</v>
      </c>
      <c r="C82" s="4">
        <f t="shared" si="1"/>
        <v>4</v>
      </c>
      <c r="D82" s="20" t="s">
        <v>96</v>
      </c>
      <c r="E82" s="1">
        <v>44.0</v>
      </c>
    </row>
    <row r="83">
      <c r="A83" s="1" t="s">
        <v>68</v>
      </c>
      <c r="B83" s="7">
        <v>45246.0</v>
      </c>
      <c r="C83" s="4">
        <f t="shared" si="1"/>
        <v>5</v>
      </c>
      <c r="D83" s="1" t="s">
        <v>97</v>
      </c>
    </row>
    <row r="84" hidden="1">
      <c r="B84" s="7">
        <v>45247.0</v>
      </c>
      <c r="C84" s="4">
        <f t="shared" si="1"/>
        <v>6</v>
      </c>
      <c r="D84" s="1" t="s">
        <v>95</v>
      </c>
    </row>
    <row r="85">
      <c r="A85" s="4" t="s">
        <v>50</v>
      </c>
      <c r="B85" s="9">
        <v>45247.0</v>
      </c>
      <c r="C85" s="4">
        <f t="shared" si="1"/>
        <v>6</v>
      </c>
      <c r="D85" s="20" t="s">
        <v>96</v>
      </c>
      <c r="E85" s="1">
        <v>46.0</v>
      </c>
    </row>
    <row r="86" hidden="1">
      <c r="B86" s="7">
        <v>45250.0</v>
      </c>
      <c r="C86" s="4">
        <f t="shared" si="1"/>
        <v>2</v>
      </c>
      <c r="D86" s="1" t="s">
        <v>95</v>
      </c>
    </row>
    <row r="87">
      <c r="A87" s="4" t="s">
        <v>51</v>
      </c>
      <c r="B87" s="9">
        <v>45250.0</v>
      </c>
      <c r="C87" s="4">
        <f t="shared" si="1"/>
        <v>2</v>
      </c>
      <c r="D87" s="20" t="s">
        <v>96</v>
      </c>
      <c r="E87" s="1">
        <v>47.0</v>
      </c>
    </row>
    <row r="88">
      <c r="A88" s="3" t="s">
        <v>53</v>
      </c>
      <c r="B88" s="7">
        <v>45252.0</v>
      </c>
      <c r="C88" s="4">
        <f t="shared" si="1"/>
        <v>4</v>
      </c>
      <c r="D88" s="1" t="s">
        <v>98</v>
      </c>
    </row>
    <row r="89">
      <c r="A89" s="3" t="s">
        <v>53</v>
      </c>
      <c r="B89" s="7">
        <v>45253.0</v>
      </c>
      <c r="C89" s="4">
        <f t="shared" si="1"/>
        <v>5</v>
      </c>
      <c r="D89" s="1" t="s">
        <v>98</v>
      </c>
    </row>
    <row r="90">
      <c r="A90" s="3" t="s">
        <v>53</v>
      </c>
      <c r="B90" s="7">
        <v>45254.0</v>
      </c>
      <c r="C90" s="4">
        <f t="shared" si="1"/>
        <v>6</v>
      </c>
      <c r="D90" s="1" t="s">
        <v>98</v>
      </c>
    </row>
    <row r="91">
      <c r="A91" s="3" t="s">
        <v>53</v>
      </c>
      <c r="B91" s="7">
        <v>45255.0</v>
      </c>
      <c r="C91" s="4">
        <f t="shared" si="1"/>
        <v>7</v>
      </c>
      <c r="D91" s="1" t="s">
        <v>98</v>
      </c>
    </row>
    <row r="92">
      <c r="A92" s="3" t="s">
        <v>53</v>
      </c>
      <c r="B92" s="7">
        <v>45256.0</v>
      </c>
      <c r="C92" s="4">
        <f t="shared" si="1"/>
        <v>1</v>
      </c>
      <c r="D92" s="1" t="s">
        <v>98</v>
      </c>
    </row>
    <row r="93" hidden="1">
      <c r="B93" s="7">
        <v>45257.0</v>
      </c>
      <c r="C93" s="4">
        <f t="shared" si="1"/>
        <v>2</v>
      </c>
      <c r="D93" s="1" t="s">
        <v>95</v>
      </c>
    </row>
    <row r="94">
      <c r="A94" s="4" t="s">
        <v>52</v>
      </c>
      <c r="B94" s="9">
        <v>45257.0</v>
      </c>
      <c r="C94" s="4">
        <f t="shared" si="1"/>
        <v>2</v>
      </c>
      <c r="D94" s="20" t="s">
        <v>96</v>
      </c>
      <c r="E94" s="1">
        <v>48.0</v>
      </c>
    </row>
    <row r="95" hidden="1">
      <c r="B95" s="7">
        <v>45259.0</v>
      </c>
      <c r="C95" s="4">
        <f t="shared" si="1"/>
        <v>4</v>
      </c>
      <c r="D95" s="1" t="s">
        <v>95</v>
      </c>
    </row>
    <row r="96">
      <c r="A96" s="4" t="s">
        <v>54</v>
      </c>
      <c r="B96" s="9">
        <v>45259.0</v>
      </c>
      <c r="C96" s="4">
        <f t="shared" si="1"/>
        <v>4</v>
      </c>
      <c r="D96" s="20" t="s">
        <v>96</v>
      </c>
      <c r="E96" s="1">
        <v>52.0</v>
      </c>
    </row>
    <row r="97">
      <c r="A97" s="1" t="s">
        <v>68</v>
      </c>
      <c r="B97" s="7">
        <v>45260.0</v>
      </c>
      <c r="C97" s="4">
        <f t="shared" si="1"/>
        <v>5</v>
      </c>
      <c r="D97" s="1" t="s">
        <v>97</v>
      </c>
    </row>
    <row r="98" hidden="1">
      <c r="B98" s="7">
        <v>45261.0</v>
      </c>
      <c r="C98" s="4">
        <f t="shared" si="1"/>
        <v>6</v>
      </c>
      <c r="D98" s="1" t="s">
        <v>95</v>
      </c>
    </row>
    <row r="99">
      <c r="A99" s="4" t="s">
        <v>56</v>
      </c>
      <c r="B99" s="9">
        <v>45261.0</v>
      </c>
      <c r="C99" s="4">
        <f t="shared" si="1"/>
        <v>6</v>
      </c>
      <c r="D99" s="20" t="s">
        <v>96</v>
      </c>
      <c r="E99" s="1">
        <v>53.0</v>
      </c>
    </row>
    <row r="100" hidden="1">
      <c r="B100" s="7">
        <v>45264.0</v>
      </c>
      <c r="C100" s="4">
        <f t="shared" si="1"/>
        <v>2</v>
      </c>
      <c r="D100" s="1" t="s">
        <v>95</v>
      </c>
    </row>
    <row r="101">
      <c r="A101" s="4" t="s">
        <v>57</v>
      </c>
      <c r="B101" s="9">
        <v>45264.0</v>
      </c>
      <c r="C101" s="4">
        <f t="shared" si="1"/>
        <v>2</v>
      </c>
      <c r="D101" s="20" t="s">
        <v>96</v>
      </c>
      <c r="E101" s="1">
        <v>55.0</v>
      </c>
    </row>
    <row r="102" hidden="1">
      <c r="B102" s="7">
        <v>45266.0</v>
      </c>
      <c r="C102" s="4">
        <f t="shared" si="1"/>
        <v>4</v>
      </c>
      <c r="D102" s="1" t="s">
        <v>95</v>
      </c>
    </row>
    <row r="103">
      <c r="A103" s="4" t="s">
        <v>57</v>
      </c>
      <c r="B103" s="9">
        <v>45266.0</v>
      </c>
      <c r="C103" s="4">
        <f t="shared" si="1"/>
        <v>4</v>
      </c>
      <c r="D103" s="20" t="s">
        <v>96</v>
      </c>
      <c r="E103" s="1">
        <v>56.0</v>
      </c>
    </row>
    <row r="104">
      <c r="A104" s="1" t="s">
        <v>68</v>
      </c>
      <c r="B104" s="7">
        <v>45267.0</v>
      </c>
      <c r="C104" s="4">
        <f t="shared" si="1"/>
        <v>5</v>
      </c>
      <c r="D104" s="1" t="s">
        <v>97</v>
      </c>
    </row>
    <row r="105" hidden="1">
      <c r="B105" s="7">
        <v>45268.0</v>
      </c>
      <c r="C105" s="4">
        <f t="shared" si="1"/>
        <v>6</v>
      </c>
      <c r="D105" s="1" t="s">
        <v>95</v>
      </c>
    </row>
    <row r="106">
      <c r="A106" s="4" t="s">
        <v>57</v>
      </c>
      <c r="B106" s="9">
        <v>45268.0</v>
      </c>
      <c r="C106" s="4">
        <f t="shared" si="1"/>
        <v>6</v>
      </c>
      <c r="D106" s="20" t="s">
        <v>96</v>
      </c>
      <c r="E106" s="1">
        <v>57.0</v>
      </c>
    </row>
    <row r="107">
      <c r="A107" s="3" t="s">
        <v>79</v>
      </c>
      <c r="B107" s="7">
        <v>45268.0</v>
      </c>
      <c r="C107" s="4">
        <f t="shared" si="1"/>
        <v>6</v>
      </c>
      <c r="D107" s="1" t="s">
        <v>98</v>
      </c>
      <c r="F107" s="1" t="s">
        <v>99</v>
      </c>
    </row>
    <row r="108" hidden="1">
      <c r="B108" s="7">
        <v>45271.0</v>
      </c>
      <c r="C108" s="4">
        <f t="shared" si="1"/>
        <v>2</v>
      </c>
      <c r="D108" s="1" t="s">
        <v>95</v>
      </c>
    </row>
    <row r="109">
      <c r="A109" s="1" t="s">
        <v>80</v>
      </c>
      <c r="B109" s="7">
        <v>45271.0</v>
      </c>
      <c r="C109" s="4">
        <f t="shared" si="1"/>
        <v>2</v>
      </c>
      <c r="D109" s="1" t="s">
        <v>98</v>
      </c>
    </row>
    <row r="110">
      <c r="A110" s="3" t="s">
        <v>81</v>
      </c>
      <c r="B110" s="7">
        <v>45272.0</v>
      </c>
      <c r="C110" s="4">
        <f t="shared" si="1"/>
        <v>3</v>
      </c>
      <c r="D110" s="1" t="s">
        <v>98</v>
      </c>
    </row>
    <row r="111">
      <c r="A111" s="3" t="s">
        <v>81</v>
      </c>
      <c r="B111" s="7">
        <v>45273.0</v>
      </c>
      <c r="C111" s="4">
        <f t="shared" si="1"/>
        <v>4</v>
      </c>
      <c r="D111" s="1" t="s">
        <v>98</v>
      </c>
    </row>
    <row r="112">
      <c r="A112" s="3" t="s">
        <v>81</v>
      </c>
      <c r="B112" s="7">
        <v>45274.0</v>
      </c>
      <c r="C112" s="4">
        <f t="shared" si="1"/>
        <v>5</v>
      </c>
      <c r="D112" s="1" t="s">
        <v>98</v>
      </c>
    </row>
    <row r="113">
      <c r="A113" s="3" t="s">
        <v>81</v>
      </c>
      <c r="B113" s="7">
        <v>45275.0</v>
      </c>
      <c r="C113" s="4">
        <f t="shared" si="1"/>
        <v>6</v>
      </c>
      <c r="D113" s="1" t="s">
        <v>98</v>
      </c>
    </row>
    <row r="114">
      <c r="A114" s="3" t="s">
        <v>82</v>
      </c>
      <c r="B114" s="7">
        <v>45275.0</v>
      </c>
      <c r="C114" s="4">
        <f t="shared" si="1"/>
        <v>6</v>
      </c>
      <c r="D114" s="1" t="s">
        <v>98</v>
      </c>
    </row>
    <row r="115">
      <c r="A115" s="3" t="s">
        <v>83</v>
      </c>
      <c r="B115" s="7">
        <v>45277.0</v>
      </c>
      <c r="C115" s="4">
        <f t="shared" si="1"/>
        <v>1</v>
      </c>
      <c r="D115" s="1" t="s">
        <v>98</v>
      </c>
    </row>
    <row r="116">
      <c r="A116" s="3" t="s">
        <v>84</v>
      </c>
      <c r="B116" s="7">
        <v>45280.0</v>
      </c>
      <c r="C116" s="4">
        <f t="shared" si="1"/>
        <v>4</v>
      </c>
      <c r="D116" s="1" t="s">
        <v>98</v>
      </c>
    </row>
    <row r="117">
      <c r="A117" s="1" t="s">
        <v>68</v>
      </c>
      <c r="B117" s="7">
        <v>45281.0</v>
      </c>
      <c r="C117" s="4">
        <f t="shared" si="1"/>
        <v>5</v>
      </c>
      <c r="D117" s="1" t="s">
        <v>97</v>
      </c>
    </row>
    <row r="118">
      <c r="B118" s="7"/>
    </row>
    <row r="119">
      <c r="B119" s="7"/>
    </row>
    <row r="120">
      <c r="A120" s="5"/>
      <c r="B120" s="7"/>
    </row>
    <row r="121">
      <c r="A121" s="5"/>
      <c r="B121" s="7"/>
    </row>
    <row r="122">
      <c r="A122" s="5"/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</sheetData>
  <autoFilter ref="$D$1:$D$975">
    <filterColumn colId="0">
      <filters blank="1">
        <filter val="previous class topics and sequence"/>
        <filter val="new this year"/>
        <filter val="simpson u cal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.88"/>
  </cols>
  <sheetData>
    <row r="1">
      <c r="A1" s="3" t="s">
        <v>100</v>
      </c>
      <c r="B1" s="21" t="s">
        <v>101</v>
      </c>
      <c r="C1" s="3" t="s">
        <v>102</v>
      </c>
    </row>
    <row r="2">
      <c r="A2" s="3" t="s">
        <v>103</v>
      </c>
      <c r="B2" s="21">
        <v>3.0</v>
      </c>
      <c r="C2" s="3" t="s">
        <v>104</v>
      </c>
      <c r="D2" s="3" t="s">
        <v>9</v>
      </c>
    </row>
    <row r="3">
      <c r="A3" s="3" t="s">
        <v>103</v>
      </c>
      <c r="B3" s="21">
        <v>4.0</v>
      </c>
      <c r="C3" s="3" t="s">
        <v>104</v>
      </c>
      <c r="D3" s="3" t="s">
        <v>12</v>
      </c>
    </row>
    <row r="4">
      <c r="A4" s="3" t="s">
        <v>105</v>
      </c>
      <c r="B4" s="21">
        <v>6.0</v>
      </c>
      <c r="C4" s="3" t="s">
        <v>104</v>
      </c>
      <c r="D4" s="3" t="s">
        <v>14</v>
      </c>
    </row>
    <row r="5">
      <c r="A5" s="3" t="s">
        <v>105</v>
      </c>
      <c r="B5" s="21">
        <v>7.0</v>
      </c>
      <c r="C5" s="3" t="s">
        <v>104</v>
      </c>
      <c r="D5" s="3" t="s">
        <v>106</v>
      </c>
    </row>
    <row r="6">
      <c r="A6" s="3"/>
      <c r="B6" s="21">
        <v>8.0</v>
      </c>
      <c r="C6" s="3"/>
      <c r="D6" s="3" t="s">
        <v>16</v>
      </c>
    </row>
    <row r="7">
      <c r="A7" s="3" t="s">
        <v>107</v>
      </c>
      <c r="B7" s="21">
        <v>10.0</v>
      </c>
      <c r="C7" s="3" t="s">
        <v>104</v>
      </c>
      <c r="D7" s="3" t="s">
        <v>108</v>
      </c>
    </row>
    <row r="8">
      <c r="A8" s="3"/>
      <c r="B8" s="21">
        <v>10.5</v>
      </c>
      <c r="C8" s="3"/>
      <c r="D8" s="3" t="s">
        <v>18</v>
      </c>
    </row>
    <row r="9">
      <c r="A9" s="3" t="s">
        <v>107</v>
      </c>
      <c r="B9" s="21">
        <v>11.0</v>
      </c>
      <c r="C9" s="3" t="s">
        <v>104</v>
      </c>
      <c r="D9" s="3" t="s">
        <v>19</v>
      </c>
    </row>
    <row r="10">
      <c r="A10" s="3" t="s">
        <v>109</v>
      </c>
      <c r="B10" s="21">
        <v>13.0</v>
      </c>
      <c r="C10" s="3" t="s">
        <v>104</v>
      </c>
      <c r="D10" s="3" t="s">
        <v>21</v>
      </c>
    </row>
    <row r="11">
      <c r="A11" s="3" t="s">
        <v>109</v>
      </c>
      <c r="B11" s="21">
        <v>14.0</v>
      </c>
      <c r="C11" s="3" t="s">
        <v>104</v>
      </c>
      <c r="D11" s="3" t="s">
        <v>110</v>
      </c>
    </row>
    <row r="12">
      <c r="A12" s="3"/>
      <c r="B12" s="21">
        <v>15.0</v>
      </c>
      <c r="C12" s="3" t="s">
        <v>104</v>
      </c>
      <c r="D12" s="3" t="s">
        <v>23</v>
      </c>
    </row>
    <row r="13">
      <c r="A13" s="3" t="s">
        <v>111</v>
      </c>
      <c r="B13" s="21">
        <v>16.0</v>
      </c>
      <c r="C13" s="3" t="s">
        <v>104</v>
      </c>
      <c r="D13" s="3" t="s">
        <v>112</v>
      </c>
    </row>
    <row r="14">
      <c r="A14" s="3"/>
      <c r="B14" s="21">
        <v>16.5</v>
      </c>
      <c r="C14" s="3"/>
      <c r="D14" s="3" t="s">
        <v>25</v>
      </c>
    </row>
    <row r="15">
      <c r="A15" s="3" t="s">
        <v>111</v>
      </c>
      <c r="B15" s="21">
        <v>17.0</v>
      </c>
      <c r="C15" s="3" t="s">
        <v>104</v>
      </c>
      <c r="D15" s="3" t="s">
        <v>26</v>
      </c>
    </row>
    <row r="16">
      <c r="A16" s="3" t="s">
        <v>113</v>
      </c>
      <c r="B16" s="21">
        <v>20.0</v>
      </c>
      <c r="C16" s="3" t="s">
        <v>104</v>
      </c>
      <c r="D16" s="3" t="s">
        <v>27</v>
      </c>
    </row>
    <row r="17">
      <c r="A17" s="3" t="s">
        <v>113</v>
      </c>
      <c r="B17" s="21">
        <v>21.0</v>
      </c>
      <c r="C17" s="3" t="s">
        <v>104</v>
      </c>
      <c r="D17" s="3" t="s">
        <v>28</v>
      </c>
    </row>
    <row r="18">
      <c r="A18" s="3" t="s">
        <v>113</v>
      </c>
      <c r="B18" s="21">
        <v>23.0</v>
      </c>
      <c r="C18" s="3" t="s">
        <v>104</v>
      </c>
      <c r="D18" s="3" t="s">
        <v>114</v>
      </c>
    </row>
    <row r="19">
      <c r="A19" s="3"/>
      <c r="B19" s="21"/>
      <c r="C19" s="3"/>
      <c r="D19" s="3" t="s">
        <v>115</v>
      </c>
    </row>
    <row r="20">
      <c r="A20" s="3" t="s">
        <v>113</v>
      </c>
      <c r="B20" s="21">
        <v>24.0</v>
      </c>
      <c r="C20" s="3" t="s">
        <v>104</v>
      </c>
      <c r="D20" s="3" t="s">
        <v>32</v>
      </c>
    </row>
    <row r="21">
      <c r="A21" s="3" t="s">
        <v>116</v>
      </c>
      <c r="B21" s="21">
        <v>26.0</v>
      </c>
      <c r="C21" s="3" t="s">
        <v>104</v>
      </c>
      <c r="D21" s="3" t="s">
        <v>34</v>
      </c>
    </row>
    <row r="22">
      <c r="A22" s="3" t="s">
        <v>116</v>
      </c>
      <c r="B22" s="21">
        <v>27.0</v>
      </c>
      <c r="C22" s="3" t="s">
        <v>104</v>
      </c>
      <c r="D22" s="3" t="s">
        <v>117</v>
      </c>
    </row>
    <row r="23">
      <c r="A23" s="3" t="s">
        <v>118</v>
      </c>
      <c r="B23" s="21">
        <v>34.0</v>
      </c>
      <c r="C23" s="3" t="s">
        <v>104</v>
      </c>
      <c r="D23" s="3" t="s">
        <v>119</v>
      </c>
    </row>
    <row r="24">
      <c r="A24" s="3" t="s">
        <v>120</v>
      </c>
      <c r="B24" s="21">
        <v>36.0</v>
      </c>
      <c r="C24" s="3" t="s">
        <v>104</v>
      </c>
      <c r="D24" s="3" t="s">
        <v>121</v>
      </c>
    </row>
    <row r="25">
      <c r="A25" s="3"/>
      <c r="B25" s="21">
        <v>37.0</v>
      </c>
      <c r="C25" s="3" t="s">
        <v>104</v>
      </c>
      <c r="D25" s="3" t="s">
        <v>43</v>
      </c>
    </row>
    <row r="26">
      <c r="A26" s="3" t="s">
        <v>122</v>
      </c>
      <c r="B26" s="21">
        <v>39.0</v>
      </c>
      <c r="C26" s="3" t="s">
        <v>104</v>
      </c>
      <c r="D26" s="3" t="s">
        <v>46</v>
      </c>
    </row>
    <row r="27">
      <c r="A27" s="3" t="s">
        <v>122</v>
      </c>
      <c r="B27" s="21">
        <v>40.0</v>
      </c>
      <c r="C27" s="3" t="s">
        <v>104</v>
      </c>
      <c r="D27" s="3" t="s">
        <v>47</v>
      </c>
    </row>
    <row r="28">
      <c r="A28" s="3" t="s">
        <v>122</v>
      </c>
      <c r="B28" s="21">
        <v>41.0</v>
      </c>
      <c r="C28" s="3" t="s">
        <v>104</v>
      </c>
      <c r="D28" s="3" t="s">
        <v>48</v>
      </c>
    </row>
    <row r="29">
      <c r="A29" s="3" t="s">
        <v>123</v>
      </c>
      <c r="B29" s="21">
        <v>44.0</v>
      </c>
      <c r="C29" s="3" t="s">
        <v>104</v>
      </c>
      <c r="D29" s="3" t="s">
        <v>49</v>
      </c>
    </row>
    <row r="30">
      <c r="A30" s="3" t="s">
        <v>123</v>
      </c>
      <c r="B30" s="21">
        <v>45.0</v>
      </c>
      <c r="C30" s="3" t="s">
        <v>104</v>
      </c>
      <c r="D30" s="3" t="s">
        <v>124</v>
      </c>
    </row>
    <row r="31">
      <c r="A31" s="3" t="s">
        <v>125</v>
      </c>
      <c r="B31" s="21">
        <v>47.0</v>
      </c>
      <c r="C31" s="3" t="s">
        <v>104</v>
      </c>
      <c r="D31" s="3" t="s">
        <v>51</v>
      </c>
    </row>
    <row r="32">
      <c r="A32" s="3" t="s">
        <v>125</v>
      </c>
      <c r="B32" s="21">
        <v>48.0</v>
      </c>
      <c r="C32" s="3" t="s">
        <v>104</v>
      </c>
      <c r="D32" s="3" t="s">
        <v>126</v>
      </c>
    </row>
    <row r="33">
      <c r="A33" s="3"/>
      <c r="B33" s="21">
        <v>49.0</v>
      </c>
      <c r="C33" s="3" t="s">
        <v>104</v>
      </c>
      <c r="D33" s="3" t="s">
        <v>127</v>
      </c>
    </row>
    <row r="34">
      <c r="A34" s="3" t="s">
        <v>128</v>
      </c>
      <c r="B34" s="21">
        <v>50.0</v>
      </c>
      <c r="C34" s="3" t="s">
        <v>104</v>
      </c>
      <c r="D34" s="3" t="s">
        <v>129</v>
      </c>
    </row>
    <row r="35">
      <c r="A35" s="3" t="s">
        <v>128</v>
      </c>
      <c r="B35" s="21">
        <v>51.0</v>
      </c>
      <c r="C35" s="3" t="s">
        <v>104</v>
      </c>
      <c r="D35" s="3" t="s">
        <v>130</v>
      </c>
    </row>
    <row r="36">
      <c r="A36" s="3"/>
      <c r="B36" s="21">
        <v>52.0</v>
      </c>
      <c r="C36" s="3"/>
      <c r="D36" s="3" t="s">
        <v>131</v>
      </c>
    </row>
    <row r="37">
      <c r="A37" s="3" t="s">
        <v>132</v>
      </c>
      <c r="B37" s="21">
        <v>53.0</v>
      </c>
      <c r="C37" s="3" t="s">
        <v>104</v>
      </c>
      <c r="D37" s="3" t="s">
        <v>133</v>
      </c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.88"/>
    <col customWidth="1" min="3" max="3" width="38.63"/>
    <col customWidth="1" min="4" max="4" width="29.25"/>
    <col customWidth="1" min="7" max="7" width="17.13"/>
  </cols>
  <sheetData>
    <row r="1">
      <c r="B1" s="1" t="s">
        <v>101</v>
      </c>
      <c r="C1" s="1" t="s">
        <v>134</v>
      </c>
      <c r="D1" s="1" t="s">
        <v>135</v>
      </c>
      <c r="F1" s="1" t="s">
        <v>136</v>
      </c>
      <c r="G1" s="1" t="s">
        <v>137</v>
      </c>
    </row>
    <row r="2">
      <c r="B2" s="1">
        <v>3.0</v>
      </c>
      <c r="C2" s="1" t="s">
        <v>138</v>
      </c>
      <c r="D2" s="4" t="str">
        <f>IFERROR(__xludf.DUMMYFUNCTION("REGEXEXTRACT(C2, ""\S* (.*)"")"),"Review of Derivatives")</f>
        <v>Review of Derivatives</v>
      </c>
      <c r="E2" s="1" t="s">
        <v>139</v>
      </c>
      <c r="F2" s="4" t="str">
        <f>IFERROR(__xludf.DUMMYFUNCTION("REGEXEXTRACT(D2, ""([\d.]+)"")"),"#N/A")</f>
        <v>#N/A</v>
      </c>
      <c r="G2" s="4" t="str">
        <f>IFERROR(__xludf.DUMMYFUNCTION("REGEXEXTRACT(D2, "" (.*)"")"),"of Derivatives")</f>
        <v>of Derivatives</v>
      </c>
    </row>
    <row r="3">
      <c r="B3" s="1">
        <v>4.0</v>
      </c>
      <c r="C3" s="1" t="s">
        <v>140</v>
      </c>
      <c r="D3" s="4" t="str">
        <f>IFERROR(__xludf.DUMMYFUNCTION("REGEXEXTRACT(C3, ""\S* (.*)"")"),"Review of Integrals and Limits")</f>
        <v>Review of Integrals and Limits</v>
      </c>
      <c r="E3" s="1" t="s">
        <v>139</v>
      </c>
      <c r="F3" s="4" t="str">
        <f>IFERROR(__xludf.DUMMYFUNCTION("REGEXEXTRACT(D3, ""([\d.]+)"")"),"#N/A")</f>
        <v>#N/A</v>
      </c>
      <c r="G3" s="4" t="str">
        <f>IFERROR(__xludf.DUMMYFUNCTION("REGEXEXTRACT(D3, "" (.*)"")"),"of Integrals and Limits")</f>
        <v>of Integrals and Limits</v>
      </c>
    </row>
    <row r="4">
      <c r="B4" s="1">
        <v>6.0</v>
      </c>
      <c r="C4" s="1" t="s">
        <v>141</v>
      </c>
      <c r="D4" s="4" t="str">
        <f>IFERROR(__xludf.DUMMYFUNCTION("REGEXEXTRACT(C4, ""\S* (.*)"")"),"4.5 u-substitutions")</f>
        <v>4.5 u-substitutions</v>
      </c>
      <c r="E4" s="1" t="s">
        <v>139</v>
      </c>
      <c r="F4" s="4" t="str">
        <f>IFERROR(__xludf.DUMMYFUNCTION("REGEXEXTRACT(D4, ""([\d.]+)"")"),"4.5")</f>
        <v>4.5</v>
      </c>
      <c r="G4" s="4" t="str">
        <f>IFERROR(__xludf.DUMMYFUNCTION("REGEXEXTRACT(D4, "" (.*)"")"),"u-substitutions")</f>
        <v>u-substitutions</v>
      </c>
    </row>
    <row r="5">
      <c r="B5" s="1">
        <v>7.0</v>
      </c>
      <c r="C5" s="1" t="s">
        <v>142</v>
      </c>
      <c r="D5" s="4" t="str">
        <f>IFERROR(__xludf.DUMMYFUNCTION("REGEXEXTRACT(C5, ""\S* (.*)"")"),"4.5 u-substitutions continued")</f>
        <v>4.5 u-substitutions continued</v>
      </c>
      <c r="E5" s="1" t="s">
        <v>139</v>
      </c>
      <c r="F5" s="4" t="str">
        <f>IFERROR(__xludf.DUMMYFUNCTION("REGEXEXTRACT(D5, ""([\d.]+)"")"),"4.5")</f>
        <v>4.5</v>
      </c>
      <c r="G5" s="4" t="str">
        <f>IFERROR(__xludf.DUMMYFUNCTION("REGEXEXTRACT(D5, "" (.*)"")"),"u-substitutions continued")</f>
        <v>u-substitutions continued</v>
      </c>
    </row>
    <row r="6">
      <c r="B6" s="1">
        <v>8.0</v>
      </c>
      <c r="C6" s="1" t="s">
        <v>143</v>
      </c>
      <c r="D6" s="4" t="str">
        <f>IFERROR(__xludf.DUMMYFUNCTION("REGEXEXTRACT(C6, ""\S* (.*)"")"),"5.1 Area between curves")</f>
        <v>5.1 Area between curves</v>
      </c>
      <c r="E6" s="1" t="s">
        <v>139</v>
      </c>
      <c r="F6" s="4" t="str">
        <f>IFERROR(__xludf.DUMMYFUNCTION("REGEXEXTRACT(D6, ""([\d.]+)"")"),"5.1")</f>
        <v>5.1</v>
      </c>
      <c r="G6" s="4" t="str">
        <f>IFERROR(__xludf.DUMMYFUNCTION("REGEXEXTRACT(D6, "" (.*)"")"),"Area between curves")</f>
        <v>Area between curves</v>
      </c>
    </row>
    <row r="7">
      <c r="B7" s="1">
        <v>10.0</v>
      </c>
      <c r="C7" s="1" t="s">
        <v>144</v>
      </c>
      <c r="D7" s="4" t="str">
        <f>IFERROR(__xludf.DUMMYFUNCTION("REGEXEXTRACT(C7, ""\S* (.*)"")"),"5.2 Volumes with discs and washers")</f>
        <v>5.2 Volumes with discs and washers</v>
      </c>
      <c r="E7" s="1" t="s">
        <v>139</v>
      </c>
      <c r="F7" s="4" t="str">
        <f>IFERROR(__xludf.DUMMYFUNCTION("REGEXEXTRACT(D7, ""([\d.]+)"")"),"5.2")</f>
        <v>5.2</v>
      </c>
      <c r="G7" s="4" t="str">
        <f>IFERROR(__xludf.DUMMYFUNCTION("REGEXEXTRACT(D7, "" (.*)"")"),"Volumes with discs and washers")</f>
        <v>Volumes with discs and washers</v>
      </c>
    </row>
    <row r="8">
      <c r="B8" s="1">
        <v>11.0</v>
      </c>
      <c r="C8" s="1" t="s">
        <v>145</v>
      </c>
      <c r="D8" s="4" t="str">
        <f>IFERROR(__xludf.DUMMYFUNCTION("REGEXEXTRACT(C8, ""\S* (.*)"")"),"5.3 Volumes with shells")</f>
        <v>5.3 Volumes with shells</v>
      </c>
      <c r="E8" s="1" t="s">
        <v>139</v>
      </c>
      <c r="F8" s="4" t="str">
        <f>IFERROR(__xludf.DUMMYFUNCTION("REGEXEXTRACT(D8, ""([\d.]+)"")"),"5.3")</f>
        <v>5.3</v>
      </c>
      <c r="G8" s="4" t="str">
        <f>IFERROR(__xludf.DUMMYFUNCTION("REGEXEXTRACT(D8, "" (.*)"")"),"Volumes with shells")</f>
        <v>Volumes with shells</v>
      </c>
    </row>
    <row r="9">
      <c r="B9" s="1">
        <v>12.0</v>
      </c>
      <c r="C9" s="1" t="s">
        <v>146</v>
      </c>
      <c r="D9" s="4" t="str">
        <f>IFERROR(__xludf.DUMMYFUNCTION("REGEXEXTRACT(C9, ""\S* (.*)"")"),"7.1 Integration by parts")</f>
        <v>7.1 Integration by parts</v>
      </c>
      <c r="E9" s="1" t="s">
        <v>139</v>
      </c>
      <c r="F9" s="4" t="str">
        <f>IFERROR(__xludf.DUMMYFUNCTION("REGEXEXTRACT(D9, ""([\d.]+)"")"),"7.1")</f>
        <v>7.1</v>
      </c>
      <c r="G9" s="4" t="str">
        <f>IFERROR(__xludf.DUMMYFUNCTION("REGEXEXTRACT(D9, "" (.*)"")"),"Integration by parts")</f>
        <v>Integration by parts</v>
      </c>
    </row>
    <row r="10">
      <c r="B10" s="1">
        <v>14.0</v>
      </c>
      <c r="C10" s="1" t="s">
        <v>147</v>
      </c>
      <c r="D10" s="4" t="str">
        <f>IFERROR(__xludf.DUMMYFUNCTION("REGEXEXTRACT(C10, ""\S* (.*)"")"),"7.2 Trig integrals")</f>
        <v>7.2 Trig integrals</v>
      </c>
      <c r="E10" s="1" t="s">
        <v>139</v>
      </c>
      <c r="F10" s="4" t="str">
        <f>IFERROR(__xludf.DUMMYFUNCTION("REGEXEXTRACT(D10, ""([\d.]+)"")"),"7.2")</f>
        <v>7.2</v>
      </c>
      <c r="G10" s="4" t="str">
        <f>IFERROR(__xludf.DUMMYFUNCTION("REGEXEXTRACT(D10, "" (.*)"")"),"Trig integrals")</f>
        <v>Trig integrals</v>
      </c>
    </row>
    <row r="11">
      <c r="B11" s="1">
        <v>15.0</v>
      </c>
      <c r="C11" s="1" t="s">
        <v>148</v>
      </c>
      <c r="D11" s="4" t="str">
        <f>IFERROR(__xludf.DUMMYFUNCTION("REGEXEXTRACT(C11, ""\S* (.*)"")"),"7.2 More trig integrals")</f>
        <v>7.2 More trig integrals</v>
      </c>
      <c r="E11" s="1" t="s">
        <v>139</v>
      </c>
      <c r="F11" s="4" t="str">
        <f>IFERROR(__xludf.DUMMYFUNCTION("REGEXEXTRACT(D11, ""([\d.]+)"")"),"7.2")</f>
        <v>7.2</v>
      </c>
      <c r="G11" s="4" t="str">
        <f>IFERROR(__xludf.DUMMYFUNCTION("REGEXEXTRACT(D11, "" (.*)"")"),"More trig integrals")</f>
        <v>More trig integrals</v>
      </c>
    </row>
    <row r="12">
      <c r="B12" s="1">
        <v>16.0</v>
      </c>
      <c r="C12" s="1" t="s">
        <v>149</v>
      </c>
      <c r="D12" s="4" t="str">
        <f>IFERROR(__xludf.DUMMYFUNCTION("REGEXEXTRACT(C12, ""\S* (.*)"")"),"7.3 Trig substitutions")</f>
        <v>7.3 Trig substitutions</v>
      </c>
      <c r="E12" s="1" t="s">
        <v>139</v>
      </c>
      <c r="F12" s="4" t="str">
        <f>IFERROR(__xludf.DUMMYFUNCTION("REGEXEXTRACT(D12, ""([\d.]+)"")"),"7.3")</f>
        <v>7.3</v>
      </c>
      <c r="G12" s="4" t="str">
        <f>IFERROR(__xludf.DUMMYFUNCTION("REGEXEXTRACT(D12, "" (.*)"")"),"Trig substitutions")</f>
        <v>Trig substitutions</v>
      </c>
    </row>
    <row r="13">
      <c r="B13" s="1">
        <v>18.0</v>
      </c>
      <c r="C13" s="1" t="s">
        <v>150</v>
      </c>
      <c r="D13" s="4" t="str">
        <f>IFERROR(__xludf.DUMMYFUNCTION("REGEXEXTRACT(C13, ""\S* (.*)"")"),"7.4 Partial Fractions and Inverse Tan integrals")</f>
        <v>7.4 Partial Fractions and Inverse Tan integrals</v>
      </c>
      <c r="E13" s="1" t="s">
        <v>139</v>
      </c>
      <c r="F13" s="4" t="str">
        <f>IFERROR(__xludf.DUMMYFUNCTION("REGEXEXTRACT(D13, ""([\d.]+)"")"),"7.4")</f>
        <v>7.4</v>
      </c>
      <c r="G13" s="4" t="str">
        <f>IFERROR(__xludf.DUMMYFUNCTION("REGEXEXTRACT(D13, "" (.*)"")"),"Partial Fractions and Inverse Tan integrals")</f>
        <v>Partial Fractions and Inverse Tan integrals</v>
      </c>
    </row>
    <row r="14">
      <c r="B14" s="1">
        <v>19.0</v>
      </c>
      <c r="C14" s="1" t="s">
        <v>151</v>
      </c>
      <c r="D14" s="4" t="str">
        <f>IFERROR(__xludf.DUMMYFUNCTION("REGEXEXTRACT(C14, ""\S* (.*)"")"),"7.5 Integration Strategies")</f>
        <v>7.5 Integration Strategies</v>
      </c>
      <c r="E14" s="1" t="s">
        <v>139</v>
      </c>
      <c r="F14" s="4" t="str">
        <f>IFERROR(__xludf.DUMMYFUNCTION("REGEXEXTRACT(D14, ""([\d.]+)"")"),"7.5")</f>
        <v>7.5</v>
      </c>
      <c r="G14" s="4" t="str">
        <f>IFERROR(__xludf.DUMMYFUNCTION("REGEXEXTRACT(D14, "" (.*)"")"),"Integration Strategies")</f>
        <v>Integration Strategies</v>
      </c>
    </row>
    <row r="15">
      <c r="B15" s="1">
        <v>20.0</v>
      </c>
      <c r="C15" s="1" t="s">
        <v>152</v>
      </c>
      <c r="D15" s="4" t="str">
        <f>IFERROR(__xludf.DUMMYFUNCTION("REGEXEXTRACT(C15, ""\S* (.*)"")"),"Exam 1 Review")</f>
        <v>Exam 1 Review</v>
      </c>
      <c r="E15" s="1" t="s">
        <v>139</v>
      </c>
      <c r="F15" s="4" t="str">
        <f>IFERROR(__xludf.DUMMYFUNCTION("REGEXEXTRACT(D15, ""([\d.]+)"")"),"1")</f>
        <v>1</v>
      </c>
      <c r="G15" s="4" t="str">
        <f>IFERROR(__xludf.DUMMYFUNCTION("REGEXEXTRACT(D15, "" (.*)"")"),"1 Review")</f>
        <v>1 Review</v>
      </c>
    </row>
    <row r="16">
      <c r="B16" s="1">
        <v>23.0</v>
      </c>
      <c r="C16" s="1" t="s">
        <v>153</v>
      </c>
      <c r="D16" s="4" t="str">
        <f>IFERROR(__xludf.DUMMYFUNCTION("REGEXEXTRACT(C16, ""\S* (.*)"")"),"EXAM 1")</f>
        <v>EXAM 1</v>
      </c>
      <c r="E16" s="1" t="s">
        <v>139</v>
      </c>
      <c r="F16" s="4" t="str">
        <f>IFERROR(__xludf.DUMMYFUNCTION("REGEXEXTRACT(D16, ""([\d.]+)"")"),"1")</f>
        <v>1</v>
      </c>
      <c r="G16" s="4" t="str">
        <f>IFERROR(__xludf.DUMMYFUNCTION("REGEXEXTRACT(D16, "" (.*)"")"),"1")</f>
        <v>1</v>
      </c>
    </row>
    <row r="17">
      <c r="B17" s="1">
        <v>24.0</v>
      </c>
      <c r="C17" s="1" t="s">
        <v>154</v>
      </c>
      <c r="D17" s="4" t="str">
        <f>IFERROR(__xludf.DUMMYFUNCTION("REGEXEXTRACT(C17, ""\S* (.*)"")"),"7.6 &amp; 7.8 Tables and improper integrals")</f>
        <v>7.6 &amp; 7.8 Tables and improper integrals</v>
      </c>
      <c r="E17" s="1" t="s">
        <v>139</v>
      </c>
      <c r="F17" s="4" t="str">
        <f>IFERROR(__xludf.DUMMYFUNCTION("REGEXEXTRACT(D17, ""([\d.]+)"")"),"7.6")</f>
        <v>7.6</v>
      </c>
      <c r="G17" s="4" t="str">
        <f>IFERROR(__xludf.DUMMYFUNCTION("REGEXEXTRACT(D17, "" (.*)"")"),"&amp; 7.8 Tables and improper integrals")</f>
        <v>&amp; 7.8 Tables and improper integrals</v>
      </c>
    </row>
    <row r="18">
      <c r="B18" s="1">
        <v>26.0</v>
      </c>
      <c r="C18" s="1" t="s">
        <v>155</v>
      </c>
      <c r="D18" s="4" t="str">
        <f>IFERROR(__xludf.DUMMYFUNCTION("REGEXEXTRACT(C18, ""\S* (.*)"")"),"7.8 Improper integrals continued")</f>
        <v>7.8 Improper integrals continued</v>
      </c>
      <c r="E18" s="1" t="s">
        <v>139</v>
      </c>
      <c r="F18" s="4" t="str">
        <f>IFERROR(__xludf.DUMMYFUNCTION("REGEXEXTRACT(D18, ""([\d.]+)"")"),"7.8")</f>
        <v>7.8</v>
      </c>
      <c r="G18" s="4" t="str">
        <f>IFERROR(__xludf.DUMMYFUNCTION("REGEXEXTRACT(D18, "" (.*)"")"),"Improper integrals continued")</f>
        <v>Improper integrals continued</v>
      </c>
    </row>
    <row r="19">
      <c r="B19" s="1">
        <v>27.0</v>
      </c>
      <c r="C19" s="1" t="s">
        <v>115</v>
      </c>
      <c r="D19" s="4" t="str">
        <f>IFERROR(__xludf.DUMMYFUNCTION("REGEXEXTRACT(C19, ""\S* (.*)"")"),"8.1 Arc length")</f>
        <v>8.1 Arc length</v>
      </c>
      <c r="E19" s="1" t="s">
        <v>139</v>
      </c>
      <c r="F19" s="4" t="str">
        <f>IFERROR(__xludf.DUMMYFUNCTION("REGEXEXTRACT(D19, ""([\d.]+)"")"),"8.1")</f>
        <v>8.1</v>
      </c>
      <c r="G19" s="4" t="str">
        <f>IFERROR(__xludf.DUMMYFUNCTION("REGEXEXTRACT(D19, "" (.*)"")"),"Arc length")</f>
        <v>Arc length</v>
      </c>
    </row>
    <row r="20">
      <c r="B20" s="1">
        <v>28.0</v>
      </c>
      <c r="C20" s="1" t="s">
        <v>156</v>
      </c>
      <c r="D20" s="4" t="str">
        <f>IFERROR(__xludf.DUMMYFUNCTION("REGEXEXTRACT(C20, ""\S* (.*)"")"),"8.2 Surface area")</f>
        <v>8.2 Surface area</v>
      </c>
      <c r="E20" s="1" t="s">
        <v>139</v>
      </c>
      <c r="F20" s="4" t="str">
        <f>IFERROR(__xludf.DUMMYFUNCTION("REGEXEXTRACT(D20, ""([\d.]+)"")"),"8.2")</f>
        <v>8.2</v>
      </c>
      <c r="G20" s="4" t="str">
        <f>IFERROR(__xludf.DUMMYFUNCTION("REGEXEXTRACT(D20, "" (.*)"")"),"Surface area")</f>
        <v>Surface area</v>
      </c>
    </row>
    <row r="21">
      <c r="B21" s="1">
        <v>30.0</v>
      </c>
      <c r="C21" s="1" t="s">
        <v>157</v>
      </c>
      <c r="D21" s="4" t="str">
        <f>IFERROR(__xludf.DUMMYFUNCTION("REGEXEXTRACT(C21, ""\S* (.*)"")"),"8.5 Probability")</f>
        <v>8.5 Probability</v>
      </c>
      <c r="E21" s="1" t="s">
        <v>139</v>
      </c>
      <c r="F21" s="4" t="str">
        <f>IFERROR(__xludf.DUMMYFUNCTION("REGEXEXTRACT(D21, ""([\d.]+)"")"),"8.5")</f>
        <v>8.5</v>
      </c>
      <c r="G21" s="4" t="str">
        <f>IFERROR(__xludf.DUMMYFUNCTION("REGEXEXTRACT(D21, "" (.*)"")"),"Probability")</f>
        <v>Probability</v>
      </c>
    </row>
    <row r="22">
      <c r="B22" s="1">
        <v>31.0</v>
      </c>
      <c r="C22" s="1" t="s">
        <v>158</v>
      </c>
      <c r="D22" s="4" t="str">
        <f>IFERROR(__xludf.DUMMYFUNCTION("REGEXEXTRACT(C22, ""\S* (.*)"")"),"9.3 Separable differential equations")</f>
        <v>9.3 Separable differential equations</v>
      </c>
      <c r="E22" s="1" t="s">
        <v>139</v>
      </c>
      <c r="F22" s="4" t="str">
        <f>IFERROR(__xludf.DUMMYFUNCTION("REGEXEXTRACT(D22, ""([\d.]+)"")"),"9.3")</f>
        <v>9.3</v>
      </c>
      <c r="G22" s="4" t="str">
        <f>IFERROR(__xludf.DUMMYFUNCTION("REGEXEXTRACT(D22, "" (.*)"")"),"Separable differential equations")</f>
        <v>Separable differential equations</v>
      </c>
    </row>
    <row r="23">
      <c r="B23" s="1">
        <v>32.0</v>
      </c>
      <c r="C23" s="1" t="s">
        <v>159</v>
      </c>
      <c r="D23" s="4" t="str">
        <f>IFERROR(__xludf.DUMMYFUNCTION("REGEXEXTRACT(C23, ""\S* (.*)"")"),"10.1 Parametric equations")</f>
        <v>10.1 Parametric equations</v>
      </c>
      <c r="E23" s="1" t="s">
        <v>139</v>
      </c>
      <c r="F23" s="4" t="str">
        <f>IFERROR(__xludf.DUMMYFUNCTION("REGEXEXTRACT(D23, ""([\d.]+)"")"),"10.1")</f>
        <v>10.1</v>
      </c>
      <c r="G23" s="4" t="str">
        <f>IFERROR(__xludf.DUMMYFUNCTION("REGEXEXTRACT(D23, "" (.*)"")"),"Parametric equations")</f>
        <v>Parametric equations</v>
      </c>
    </row>
    <row r="24">
      <c r="B24" s="1">
        <v>39.0</v>
      </c>
      <c r="C24" s="1" t="s">
        <v>160</v>
      </c>
      <c r="D24" s="4" t="str">
        <f>IFERROR(__xludf.DUMMYFUNCTION("REGEXEXTRACT(C24, ""\S* (.*)"")"),"10.2 Calculus with parametric equations")</f>
        <v>10.2 Calculus with parametric equations</v>
      </c>
      <c r="E24" s="1" t="s">
        <v>139</v>
      </c>
      <c r="F24" s="4" t="str">
        <f>IFERROR(__xludf.DUMMYFUNCTION("REGEXEXTRACT(D24, ""([\d.]+)"")"),"10.2")</f>
        <v>10.2</v>
      </c>
      <c r="G24" s="4" t="str">
        <f>IFERROR(__xludf.DUMMYFUNCTION("REGEXEXTRACT(D24, "" (.*)"")"),"Calculus with parametric equations")</f>
        <v>Calculus with parametric equations</v>
      </c>
    </row>
    <row r="25">
      <c r="B25" s="1">
        <v>41.0</v>
      </c>
      <c r="C25" s="1" t="s">
        <v>161</v>
      </c>
      <c r="D25" s="4" t="str">
        <f>IFERROR(__xludf.DUMMYFUNCTION("REGEXEXTRACT(C25, ""\S* (.*)"")"),"10.3 Polar coordinates")</f>
        <v>10.3 Polar coordinates</v>
      </c>
      <c r="E25" s="1" t="s">
        <v>139</v>
      </c>
      <c r="F25" s="4" t="str">
        <f>IFERROR(__xludf.DUMMYFUNCTION("REGEXEXTRACT(D25, ""([\d.]+)"")"),"10.3")</f>
        <v>10.3</v>
      </c>
      <c r="G25" s="4" t="str">
        <f>IFERROR(__xludf.DUMMYFUNCTION("REGEXEXTRACT(D25, "" (.*)"")"),"Polar coordinates")</f>
        <v>Polar coordinates</v>
      </c>
    </row>
    <row r="26">
      <c r="B26" s="1">
        <v>43.0</v>
      </c>
      <c r="C26" s="1" t="s">
        <v>162</v>
      </c>
      <c r="D26" s="4" t="str">
        <f>IFERROR(__xludf.DUMMYFUNCTION("REGEXEXTRACT(C26, ""\S* (.*)"")"),"10.4 Areas with polar coordinates")</f>
        <v>10.4 Areas with polar coordinates</v>
      </c>
      <c r="E26" s="1" t="s">
        <v>139</v>
      </c>
      <c r="F26" s="4" t="str">
        <f>IFERROR(__xludf.DUMMYFUNCTION("REGEXEXTRACT(D26, ""([\d.]+)"")"),"10.4")</f>
        <v>10.4</v>
      </c>
      <c r="G26" s="4" t="str">
        <f>IFERROR(__xludf.DUMMYFUNCTION("REGEXEXTRACT(D26, "" (.*)"")"),"Areas with polar coordinates")</f>
        <v>Areas with polar coordinates</v>
      </c>
    </row>
    <row r="27">
      <c r="B27" s="1">
        <v>44.0</v>
      </c>
      <c r="C27" s="1" t="s">
        <v>163</v>
      </c>
      <c r="D27" s="4" t="str">
        <f>IFERROR(__xludf.DUMMYFUNCTION("REGEXEXTRACT(C27, ""\S* (.*)"")"),"Exam 2 Review")</f>
        <v>Exam 2 Review</v>
      </c>
      <c r="E27" s="1" t="s">
        <v>139</v>
      </c>
      <c r="F27" s="4" t="str">
        <f>IFERROR(__xludf.DUMMYFUNCTION("REGEXEXTRACT(D27, ""([\d.]+)"")"),"2")</f>
        <v>2</v>
      </c>
      <c r="G27" s="4" t="str">
        <f>IFERROR(__xludf.DUMMYFUNCTION("REGEXEXTRACT(D27, "" (.*)"")"),"2 Review")</f>
        <v>2 Review</v>
      </c>
    </row>
    <row r="28">
      <c r="B28" s="1">
        <v>45.0</v>
      </c>
      <c r="C28" s="1" t="s">
        <v>164</v>
      </c>
      <c r="D28" s="4" t="str">
        <f>IFERROR(__xludf.DUMMYFUNCTION("REGEXEXTRACT(C28, ""\S* (.*)"")"),"EXAM 2")</f>
        <v>EXAM 2</v>
      </c>
      <c r="E28" s="1" t="s">
        <v>139</v>
      </c>
      <c r="F28" s="4" t="str">
        <f>IFERROR(__xludf.DUMMYFUNCTION("REGEXEXTRACT(D28, ""([\d.]+)"")"),"2")</f>
        <v>2</v>
      </c>
      <c r="G28" s="4" t="str">
        <f>IFERROR(__xludf.DUMMYFUNCTION("REGEXEXTRACT(D28, "" (.*)"")"),"2")</f>
        <v>2</v>
      </c>
    </row>
    <row r="29">
      <c r="B29" s="1">
        <v>47.0</v>
      </c>
      <c r="C29" s="1" t="s">
        <v>165</v>
      </c>
      <c r="D29" s="4" t="str">
        <f>IFERROR(__xludf.DUMMYFUNCTION("REGEXEXTRACT(C29, ""\S* (.*)"")"),"11.1 Sequences")</f>
        <v>11.1 Sequences</v>
      </c>
      <c r="E29" s="1" t="s">
        <v>139</v>
      </c>
      <c r="F29" s="4" t="str">
        <f>IFERROR(__xludf.DUMMYFUNCTION("REGEXEXTRACT(D29, ""([\d.]+)"")"),"11.1")</f>
        <v>11.1</v>
      </c>
      <c r="G29" s="4" t="str">
        <f>IFERROR(__xludf.DUMMYFUNCTION("REGEXEXTRACT(D29, "" (.*)"")"),"Sequences")</f>
        <v>Sequences</v>
      </c>
    </row>
    <row r="30">
      <c r="B30" s="1">
        <v>48.0</v>
      </c>
      <c r="C30" s="1" t="s">
        <v>166</v>
      </c>
      <c r="D30" s="4" t="str">
        <f>IFERROR(__xludf.DUMMYFUNCTION("REGEXEXTRACT(C30, ""\S* (.*)"")"),"11.2 Series")</f>
        <v>11.2 Series</v>
      </c>
      <c r="E30" s="1" t="s">
        <v>139</v>
      </c>
      <c r="F30" s="4" t="str">
        <f>IFERROR(__xludf.DUMMYFUNCTION("REGEXEXTRACT(D30, ""([\d.]+)"")"),"11.2")</f>
        <v>11.2</v>
      </c>
      <c r="G30" s="4" t="str">
        <f>IFERROR(__xludf.DUMMYFUNCTION("REGEXEXTRACT(D30, "" (.*)"")"),"Series")</f>
        <v>Series</v>
      </c>
    </row>
    <row r="31">
      <c r="B31" s="1">
        <v>49.0</v>
      </c>
      <c r="C31" s="1" t="s">
        <v>167</v>
      </c>
      <c r="D31" s="4" t="str">
        <f>IFERROR(__xludf.DUMMYFUNCTION("REGEXEXTRACT(C31, ""\S* (.*)"")"),"11.3 Integral test")</f>
        <v>11.3 Integral test</v>
      </c>
      <c r="E31" s="1" t="s">
        <v>139</v>
      </c>
      <c r="F31" s="4" t="str">
        <f>IFERROR(__xludf.DUMMYFUNCTION("REGEXEXTRACT(D31, ""([\d.]+)"")"),"11.3")</f>
        <v>11.3</v>
      </c>
      <c r="G31" s="4" t="str">
        <f>IFERROR(__xludf.DUMMYFUNCTION("REGEXEXTRACT(D31, "" (.*)"")"),"Integral test")</f>
        <v>Integral test</v>
      </c>
    </row>
    <row r="32">
      <c r="B32" s="1">
        <v>51.0</v>
      </c>
      <c r="C32" s="1" t="s">
        <v>168</v>
      </c>
      <c r="D32" s="4" t="str">
        <f>IFERROR(__xludf.DUMMYFUNCTION("REGEXEXTRACT(C32, ""\S* (.*)"")"),"11.4 Comparison tests")</f>
        <v>11.4 Comparison tests</v>
      </c>
      <c r="E32" s="1" t="s">
        <v>139</v>
      </c>
      <c r="F32" s="4" t="str">
        <f>IFERROR(__xludf.DUMMYFUNCTION("REGEXEXTRACT(D32, ""([\d.]+)"")"),"11.4")</f>
        <v>11.4</v>
      </c>
      <c r="G32" s="4" t="str">
        <f>IFERROR(__xludf.DUMMYFUNCTION("REGEXEXTRACT(D32, "" (.*)"")"),"Comparison tests")</f>
        <v>Comparison tests</v>
      </c>
    </row>
    <row r="33">
      <c r="B33" s="1">
        <v>52.0</v>
      </c>
      <c r="C33" s="1" t="s">
        <v>169</v>
      </c>
      <c r="D33" s="4" t="str">
        <f>IFERROR(__xludf.DUMMYFUNCTION("REGEXEXTRACT(C33, ""\S* (.*)"")"),"11.5 Alternating series test")</f>
        <v>11.5 Alternating series test</v>
      </c>
      <c r="E33" s="1" t="s">
        <v>139</v>
      </c>
      <c r="F33" s="4" t="str">
        <f>IFERROR(__xludf.DUMMYFUNCTION("REGEXEXTRACT(D33, ""([\d.]+)"")"),"11.5")</f>
        <v>11.5</v>
      </c>
      <c r="G33" s="4" t="str">
        <f>IFERROR(__xludf.DUMMYFUNCTION("REGEXEXTRACT(D33, "" (.*)"")"),"Alternating series test")</f>
        <v>Alternating series test</v>
      </c>
    </row>
    <row r="34">
      <c r="B34" s="1">
        <v>55.0</v>
      </c>
      <c r="C34" s="1" t="s">
        <v>170</v>
      </c>
      <c r="D34" s="4" t="str">
        <f>IFERROR(__xludf.DUMMYFUNCTION("REGEXEXTRACT(C34, ""\S* (.*)"")"),"11.6 Ratio test")</f>
        <v>11.6 Ratio test</v>
      </c>
      <c r="E34" s="1" t="s">
        <v>139</v>
      </c>
      <c r="F34" s="4" t="str">
        <f>IFERROR(__xludf.DUMMYFUNCTION("REGEXEXTRACT(D34, ""([\d.]+)"")"),"11.6")</f>
        <v>11.6</v>
      </c>
      <c r="G34" s="4" t="str">
        <f>IFERROR(__xludf.DUMMYFUNCTION("REGEXEXTRACT(D34, "" (.*)"")"),"Ratio test")</f>
        <v>Ratio test</v>
      </c>
    </row>
    <row r="35">
      <c r="B35" s="1">
        <v>56.0</v>
      </c>
      <c r="C35" s="1" t="s">
        <v>171</v>
      </c>
      <c r="D35" s="4" t="str">
        <f>IFERROR(__xludf.DUMMYFUNCTION("REGEXEXTRACT(C35, ""\S* (.*)"")"),"11.7 Strategies")</f>
        <v>11.7 Strategies</v>
      </c>
      <c r="E35" s="1" t="s">
        <v>139</v>
      </c>
      <c r="F35" s="4" t="str">
        <f>IFERROR(__xludf.DUMMYFUNCTION("REGEXEXTRACT(D35, ""([\d.]+)"")"),"11.7")</f>
        <v>11.7</v>
      </c>
      <c r="G35" s="4" t="str">
        <f>IFERROR(__xludf.DUMMYFUNCTION("REGEXEXTRACT(D35, "" (.*)"")"),"Strategies")</f>
        <v>Strategies</v>
      </c>
    </row>
    <row r="36">
      <c r="B36" s="1">
        <v>57.0</v>
      </c>
      <c r="C36" s="1" t="s">
        <v>127</v>
      </c>
      <c r="D36" s="4" t="str">
        <f>IFERROR(__xludf.DUMMYFUNCTION("REGEXEXTRACT(C36, ""\S* (.*)"")"),"Exam 3 Review")</f>
        <v>Exam 3 Review</v>
      </c>
      <c r="E36" s="1" t="s">
        <v>139</v>
      </c>
      <c r="F36" s="4" t="str">
        <f>IFERROR(__xludf.DUMMYFUNCTION("REGEXEXTRACT(D36, ""([\d.]+)"")"),"3")</f>
        <v>3</v>
      </c>
      <c r="G36" s="4" t="str">
        <f>IFERROR(__xludf.DUMMYFUNCTION("REGEXEXTRACT(D36, "" (.*)"")"),"3 Review")</f>
        <v>3 Review</v>
      </c>
    </row>
    <row r="37">
      <c r="B37" s="1">
        <v>59.0</v>
      </c>
      <c r="C37" s="1" t="s">
        <v>172</v>
      </c>
      <c r="D37" s="4" t="str">
        <f>IFERROR(__xludf.DUMMYFUNCTION("REGEXEXTRACT(C37, ""\S* (.*)"")"),"EXAM 3")</f>
        <v>EXAM 3</v>
      </c>
      <c r="E37" s="1" t="s">
        <v>139</v>
      </c>
      <c r="F37" s="4" t="str">
        <f>IFERROR(__xludf.DUMMYFUNCTION("REGEXEXTRACT(D37, ""([\d.]+)"")"),"3")</f>
        <v>3</v>
      </c>
      <c r="G37" s="4" t="str">
        <f>IFERROR(__xludf.DUMMYFUNCTION("REGEXEXTRACT(D37, "" (.*)"")"),"3")</f>
        <v>3</v>
      </c>
    </row>
    <row r="38">
      <c r="B38" s="1">
        <v>60.0</v>
      </c>
      <c r="C38" s="1" t="s">
        <v>173</v>
      </c>
      <c r="D38" s="4" t="str">
        <f>IFERROR(__xludf.DUMMYFUNCTION("REGEXEXTRACT(C38, ""\S* (.*)"")"),"Final Review")</f>
        <v>Final Review</v>
      </c>
      <c r="E38" s="1" t="s">
        <v>139</v>
      </c>
      <c r="F38" s="4" t="str">
        <f>IFERROR(__xludf.DUMMYFUNCTION("REGEXEXTRACT(D38, ""([\d.]+)"")"),"#N/A")</f>
        <v>#N/A</v>
      </c>
      <c r="G38" s="4" t="str">
        <f>IFERROR(__xludf.DUMMYFUNCTION("REGEXEXTRACT(D38, "" (.*)"")"),"Review")</f>
        <v>Review</v>
      </c>
    </row>
    <row r="39">
      <c r="B39" s="1">
        <v>61.0</v>
      </c>
      <c r="C39" s="1" t="s">
        <v>131</v>
      </c>
      <c r="D39" s="4" t="str">
        <f>IFERROR(__xludf.DUMMYFUNCTION("REGEXEXTRACT(C39, ""\S* (.*)"")"),"Final Review")</f>
        <v>Final Review</v>
      </c>
      <c r="E39" s="1" t="s">
        <v>139</v>
      </c>
      <c r="F39" s="4" t="str">
        <f>IFERROR(__xludf.DUMMYFUNCTION("REGEXEXTRACT(D39, ""([\d.]+)"")"),"#N/A")</f>
        <v>#N/A</v>
      </c>
      <c r="G39" s="4" t="str">
        <f>IFERROR(__xludf.DUMMYFUNCTION("REGEXEXTRACT(D39, "" (.*)"")"),"Review")</f>
        <v>Review</v>
      </c>
    </row>
    <row r="40">
      <c r="B40" s="1">
        <v>63.0</v>
      </c>
      <c r="C40" s="1" t="s">
        <v>174</v>
      </c>
      <c r="D40" s="4" t="str">
        <f>IFERROR(__xludf.DUMMYFUNCTION("REGEXEXTRACT(C40, ""\S* (.*)"")"),"FINAL EXAM 10:30-12:30 PM")</f>
        <v>FINAL EXAM 10:30-12:30 PM</v>
      </c>
      <c r="E40" s="1" t="s">
        <v>139</v>
      </c>
      <c r="F40" s="4" t="str">
        <f>IFERROR(__xludf.DUMMYFUNCTION("REGEXEXTRACT(D40, ""([\d.]+)"")"),"10")</f>
        <v>10</v>
      </c>
      <c r="G40" s="4" t="str">
        <f>IFERROR(__xludf.DUMMYFUNCTION("REGEXEXTRACT(D40, "" (.*)"")"),"EXAM 10:30-12:30 PM")</f>
        <v>EXAM 10:30-12:30 PM</v>
      </c>
    </row>
    <row r="41">
      <c r="B41" s="1">
        <v>1.0</v>
      </c>
      <c r="C41" s="1" t="s">
        <v>103</v>
      </c>
      <c r="F41" s="4" t="str">
        <f>IFERROR(__xludf.DUMMYFUNCTION("REGEXEXTRACT(D41, ""([\d.]+)"")"),"#N/A")</f>
        <v>#N/A</v>
      </c>
    </row>
    <row r="42">
      <c r="B42" s="1">
        <v>2.0</v>
      </c>
      <c r="C42" s="1" t="s">
        <v>175</v>
      </c>
      <c r="D42" s="4" t="str">
        <f>IFERROR(__xludf.DUMMYFUNCTION("REGEXEXTRACT(C42, ""\S* (.*)"")"),"MLK DAY - NO CLASS")</f>
        <v>MLK DAY - NO CLASS</v>
      </c>
      <c r="F42" s="4" t="str">
        <f>IFERROR(__xludf.DUMMYFUNCTION("REGEXEXTRACT(D42, ""([\d.]+)"")"),"#N/A")</f>
        <v>#N/A</v>
      </c>
      <c r="G42" s="4" t="str">
        <f>IFERROR(__xludf.DUMMYFUNCTION("REGEXEXTRACT(D42, "" (.*)"")"),"DAY - NO CLASS")</f>
        <v>DAY - NO CLASS</v>
      </c>
    </row>
    <row r="43">
      <c r="B43" s="1">
        <v>5.0</v>
      </c>
      <c r="C43" s="1" t="s">
        <v>105</v>
      </c>
      <c r="D43" s="4" t="str">
        <f>IFERROR(__xludf.DUMMYFUNCTION("REGEXEXTRACT(C43, ""\S* (.*)"")"),"2")</f>
        <v>2</v>
      </c>
      <c r="F43" s="4" t="str">
        <f>IFERROR(__xludf.DUMMYFUNCTION("REGEXEXTRACT(D43, ""([\d.]+)"")"),"2")</f>
        <v>2</v>
      </c>
      <c r="G43" s="4" t="str">
        <f>IFERROR(__xludf.DUMMYFUNCTION("REGEXEXTRACT(D43, "" (.*)"")"),"#N/A")</f>
        <v>#N/A</v>
      </c>
    </row>
    <row r="44">
      <c r="B44" s="1">
        <v>9.0</v>
      </c>
      <c r="C44" s="1" t="s">
        <v>107</v>
      </c>
      <c r="D44" s="4" t="str">
        <f>IFERROR(__xludf.DUMMYFUNCTION("REGEXEXTRACT(C44, ""\S* (.*)"")"),"3")</f>
        <v>3</v>
      </c>
      <c r="F44" s="4" t="str">
        <f>IFERROR(__xludf.DUMMYFUNCTION("REGEXEXTRACT(D44, ""([\d.]+)"")"),"3")</f>
        <v>3</v>
      </c>
      <c r="G44" s="4" t="str">
        <f>IFERROR(__xludf.DUMMYFUNCTION("REGEXEXTRACT(D44, "" (.*)"")"),"#N/A")</f>
        <v>#N/A</v>
      </c>
    </row>
    <row r="45">
      <c r="B45" s="1">
        <v>13.0</v>
      </c>
      <c r="C45" s="1" t="s">
        <v>109</v>
      </c>
      <c r="D45" s="4" t="str">
        <f>IFERROR(__xludf.DUMMYFUNCTION("REGEXEXTRACT(C45, ""\S* (.*)"")"),"4")</f>
        <v>4</v>
      </c>
      <c r="F45" s="4" t="str">
        <f>IFERROR(__xludf.DUMMYFUNCTION("REGEXEXTRACT(D45, ""([\d.]+)"")"),"4")</f>
        <v>4</v>
      </c>
      <c r="G45" s="4" t="str">
        <f>IFERROR(__xludf.DUMMYFUNCTION("REGEXEXTRACT(D45, "" (.*)"")"),"#N/A")</f>
        <v>#N/A</v>
      </c>
    </row>
    <row r="46">
      <c r="B46" s="1">
        <v>17.0</v>
      </c>
      <c r="C46" s="1" t="s">
        <v>111</v>
      </c>
      <c r="D46" s="4" t="str">
        <f>IFERROR(__xludf.DUMMYFUNCTION("REGEXEXTRACT(C46, ""\S* (.*)"")"),"5")</f>
        <v>5</v>
      </c>
      <c r="F46" s="4" t="str">
        <f>IFERROR(__xludf.DUMMYFUNCTION("REGEXEXTRACT(D46, ""([\d.]+)"")"),"5")</f>
        <v>5</v>
      </c>
      <c r="G46" s="4" t="str">
        <f>IFERROR(__xludf.DUMMYFUNCTION("REGEXEXTRACT(D46, "" (.*)"")"),"#N/A")</f>
        <v>#N/A</v>
      </c>
    </row>
    <row r="47">
      <c r="B47" s="1">
        <v>21.0</v>
      </c>
      <c r="C47" s="1" t="s">
        <v>111</v>
      </c>
      <c r="D47" s="4" t="str">
        <f>IFERROR(__xludf.DUMMYFUNCTION("REGEXEXTRACT(C47, ""\S* (.*)"")"),"5")</f>
        <v>5</v>
      </c>
      <c r="F47" s="4" t="str">
        <f>IFERROR(__xludf.DUMMYFUNCTION("REGEXEXTRACT(D47, ""([\d.]+)"")"),"5")</f>
        <v>5</v>
      </c>
      <c r="G47" s="4" t="str">
        <f>IFERROR(__xludf.DUMMYFUNCTION("REGEXEXTRACT(D47, "" (.*)"")"),"#N/A")</f>
        <v>#N/A</v>
      </c>
    </row>
    <row r="48">
      <c r="B48" s="1">
        <v>22.0</v>
      </c>
      <c r="C48" s="1" t="s">
        <v>176</v>
      </c>
      <c r="D48" s="4" t="str">
        <f>IFERROR(__xludf.DUMMYFUNCTION("REGEXEXTRACT(C48, ""\S* (.*)"")"),"PRESIDENT’S DAY - NO CLASS")</f>
        <v>PRESIDENT’S DAY - NO CLASS</v>
      </c>
      <c r="F48" s="4" t="str">
        <f>IFERROR(__xludf.DUMMYFUNCTION("REGEXEXTRACT(D48, ""([\d.]+)"")"),"#N/A")</f>
        <v>#N/A</v>
      </c>
      <c r="G48" s="4" t="str">
        <f>IFERROR(__xludf.DUMMYFUNCTION("REGEXEXTRACT(D48, "" (.*)"")"),"DAY - NO CLASS")</f>
        <v>DAY - NO CLASS</v>
      </c>
    </row>
    <row r="49">
      <c r="B49" s="1">
        <v>25.0</v>
      </c>
      <c r="C49" s="1" t="s">
        <v>113</v>
      </c>
      <c r="D49" s="4" t="str">
        <f>IFERROR(__xludf.DUMMYFUNCTION("REGEXEXTRACT(C49, ""\S* (.*)"")"),"6")</f>
        <v>6</v>
      </c>
      <c r="F49" s="4" t="str">
        <f>IFERROR(__xludf.DUMMYFUNCTION("REGEXEXTRACT(D49, ""([\d.]+)"")"),"6")</f>
        <v>6</v>
      </c>
      <c r="G49" s="4" t="str">
        <f>IFERROR(__xludf.DUMMYFUNCTION("REGEXEXTRACT(D49, "" (.*)"")"),"#N/A")</f>
        <v>#N/A</v>
      </c>
    </row>
    <row r="50">
      <c r="B50" s="1">
        <v>29.0</v>
      </c>
      <c r="C50" s="1" t="s">
        <v>116</v>
      </c>
      <c r="D50" s="4" t="str">
        <f>IFERROR(__xludf.DUMMYFUNCTION("REGEXEXTRACT(C50, ""\S* (.*)"")"),"7")</f>
        <v>7</v>
      </c>
      <c r="F50" s="4" t="str">
        <f>IFERROR(__xludf.DUMMYFUNCTION("REGEXEXTRACT(D50, ""([\d.]+)"")"),"7")</f>
        <v>7</v>
      </c>
      <c r="G50" s="4" t="str">
        <f>IFERROR(__xludf.DUMMYFUNCTION("REGEXEXTRACT(D50, "" (.*)"")"),"#N/A")</f>
        <v>#N/A</v>
      </c>
    </row>
    <row r="51">
      <c r="B51" s="1">
        <v>33.0</v>
      </c>
      <c r="C51" s="1" t="s">
        <v>177</v>
      </c>
      <c r="D51" s="4" t="str">
        <f>IFERROR(__xludf.DUMMYFUNCTION("REGEXEXTRACT(C51, ""\S* (.*)"")"),"8")</f>
        <v>8</v>
      </c>
      <c r="F51" s="4" t="str">
        <f>IFERROR(__xludf.DUMMYFUNCTION("REGEXEXTRACT(D51, ""([\d.]+)"")"),"8")</f>
        <v>8</v>
      </c>
      <c r="G51" s="4" t="str">
        <f>IFERROR(__xludf.DUMMYFUNCTION("REGEXEXTRACT(D51, "" (.*)"")"),"#N/A")</f>
        <v>#N/A</v>
      </c>
    </row>
    <row r="52">
      <c r="B52" s="1">
        <v>34.0</v>
      </c>
      <c r="C52" s="1" t="s">
        <v>178</v>
      </c>
      <c r="D52" s="4" t="str">
        <f>IFERROR(__xludf.DUMMYFUNCTION("REGEXEXTRACT(C52, ""\S* (.*)"")"),"SPRING BREAK")</f>
        <v>SPRING BREAK</v>
      </c>
      <c r="F52" s="4" t="str">
        <f>IFERROR(__xludf.DUMMYFUNCTION("REGEXEXTRACT(D52, ""([\d.]+)"")"),"#N/A")</f>
        <v>#N/A</v>
      </c>
      <c r="G52" s="4" t="str">
        <f>IFERROR(__xludf.DUMMYFUNCTION("REGEXEXTRACT(D52, "" (.*)"")"),"BREAK")</f>
        <v>BREAK</v>
      </c>
    </row>
    <row r="53">
      <c r="B53" s="1">
        <v>35.0</v>
      </c>
      <c r="C53" s="1" t="s">
        <v>179</v>
      </c>
      <c r="D53" s="4" t="str">
        <f>IFERROR(__xludf.DUMMYFUNCTION("REGEXEXTRACT(C53, ""\S* (.*)"")"),"SPRING BREAK")</f>
        <v>SPRING BREAK</v>
      </c>
      <c r="F53" s="4" t="str">
        <f>IFERROR(__xludf.DUMMYFUNCTION("REGEXEXTRACT(D53, ""([\d.]+)"")"),"#N/A")</f>
        <v>#N/A</v>
      </c>
      <c r="G53" s="4" t="str">
        <f>IFERROR(__xludf.DUMMYFUNCTION("REGEXEXTRACT(D53, "" (.*)"")"),"BREAK")</f>
        <v>BREAK</v>
      </c>
    </row>
    <row r="54">
      <c r="B54" s="1">
        <v>36.0</v>
      </c>
      <c r="C54" s="1" t="s">
        <v>180</v>
      </c>
      <c r="D54" s="4" t="str">
        <f>IFERROR(__xludf.DUMMYFUNCTION("REGEXEXTRACT(C54, ""\S* (.*)"")"),"SPRING BREAK")</f>
        <v>SPRING BREAK</v>
      </c>
      <c r="F54" s="4" t="str">
        <f>IFERROR(__xludf.DUMMYFUNCTION("REGEXEXTRACT(D54, ""([\d.]+)"")"),"#N/A")</f>
        <v>#N/A</v>
      </c>
      <c r="G54" s="4" t="str">
        <f>IFERROR(__xludf.DUMMYFUNCTION("REGEXEXTRACT(D54, "" (.*)"")"),"BREAK")</f>
        <v>BREAK</v>
      </c>
    </row>
    <row r="55">
      <c r="B55" s="1">
        <v>37.0</v>
      </c>
      <c r="C55" s="1" t="s">
        <v>181</v>
      </c>
      <c r="D55" s="4" t="str">
        <f>IFERROR(__xludf.DUMMYFUNCTION("REGEXEXTRACT(C55, ""\S* (.*)"")"),"SPRING BREAK")</f>
        <v>SPRING BREAK</v>
      </c>
      <c r="F55" s="4" t="str">
        <f>IFERROR(__xludf.DUMMYFUNCTION("REGEXEXTRACT(D55, ""([\d.]+)"")"),"#N/A")</f>
        <v>#N/A</v>
      </c>
      <c r="G55" s="4" t="str">
        <f>IFERROR(__xludf.DUMMYFUNCTION("REGEXEXTRACT(D55, "" (.*)"")"),"BREAK")</f>
        <v>BREAK</v>
      </c>
    </row>
    <row r="56">
      <c r="B56" s="1">
        <v>38.0</v>
      </c>
      <c r="C56" s="1" t="s">
        <v>118</v>
      </c>
      <c r="D56" s="4" t="str">
        <f>IFERROR(__xludf.DUMMYFUNCTION("REGEXEXTRACT(C56, ""\S* (.*)"")"),"9")</f>
        <v>9</v>
      </c>
      <c r="F56" s="4" t="str">
        <f>IFERROR(__xludf.DUMMYFUNCTION("REGEXEXTRACT(D56, ""([\d.]+)"")"),"9")</f>
        <v>9</v>
      </c>
      <c r="G56" s="4" t="str">
        <f>IFERROR(__xludf.DUMMYFUNCTION("REGEXEXTRACT(D56, "" (.*)"")"),"#N/A")</f>
        <v>#N/A</v>
      </c>
    </row>
    <row r="57">
      <c r="B57" s="1">
        <v>40.0</v>
      </c>
      <c r="C57" s="1" t="s">
        <v>182</v>
      </c>
      <c r="D57" s="4" t="str">
        <f>IFERROR(__xludf.DUMMYFUNCTION("REGEXEXTRACT(C57, ""\S* (.*)"")"),"RESEARCH SYMPOSIUM - NO CLASS")</f>
        <v>RESEARCH SYMPOSIUM - NO CLASS</v>
      </c>
      <c r="F57" s="4" t="str">
        <f>IFERROR(__xludf.DUMMYFUNCTION("REGEXEXTRACT(D57, ""([\d.]+)"")"),"#N/A")</f>
        <v>#N/A</v>
      </c>
      <c r="G57" s="4" t="str">
        <f>IFERROR(__xludf.DUMMYFUNCTION("REGEXEXTRACT(D57, "" (.*)"")"),"SYMPOSIUM - NO CLASS")</f>
        <v>SYMPOSIUM - NO CLASS</v>
      </c>
    </row>
    <row r="58">
      <c r="B58" s="1">
        <v>42.0</v>
      </c>
      <c r="C58" s="1" t="s">
        <v>120</v>
      </c>
      <c r="D58" s="4" t="str">
        <f>IFERROR(__xludf.DUMMYFUNCTION("REGEXEXTRACT(C58, ""\S* (.*)"")"),"10")</f>
        <v>10</v>
      </c>
      <c r="F58" s="4" t="str">
        <f>IFERROR(__xludf.DUMMYFUNCTION("REGEXEXTRACT(D58, ""([\d.]+)"")"),"10")</f>
        <v>10</v>
      </c>
      <c r="G58" s="4" t="str">
        <f>IFERROR(__xludf.DUMMYFUNCTION("REGEXEXTRACT(D58, "" (.*)"")"),"#N/A")</f>
        <v>#N/A</v>
      </c>
    </row>
    <row r="59">
      <c r="B59" s="1">
        <v>46.0</v>
      </c>
      <c r="C59" s="1" t="s">
        <v>122</v>
      </c>
      <c r="D59" s="4" t="str">
        <f>IFERROR(__xludf.DUMMYFUNCTION("REGEXEXTRACT(C59, ""\S* (.*)"")"),"11")</f>
        <v>11</v>
      </c>
      <c r="F59" s="4" t="str">
        <f>IFERROR(__xludf.DUMMYFUNCTION("REGEXEXTRACT(D59, ""([\d.]+)"")"),"11")</f>
        <v>11</v>
      </c>
      <c r="G59" s="4" t="str">
        <f>IFERROR(__xludf.DUMMYFUNCTION("REGEXEXTRACT(D59, "" (.*)"")"),"#N/A")</f>
        <v>#N/A</v>
      </c>
    </row>
    <row r="60">
      <c r="B60" s="1">
        <v>50.0</v>
      </c>
      <c r="C60" s="1" t="s">
        <v>123</v>
      </c>
      <c r="D60" s="4" t="str">
        <f>IFERROR(__xludf.DUMMYFUNCTION("REGEXEXTRACT(C60, ""\S* (.*)"")"),"12")</f>
        <v>12</v>
      </c>
      <c r="F60" s="4" t="str">
        <f>IFERROR(__xludf.DUMMYFUNCTION("REGEXEXTRACT(D60, ""([\d.]+)"")"),"12")</f>
        <v>12</v>
      </c>
      <c r="G60" s="4" t="str">
        <f>IFERROR(__xludf.DUMMYFUNCTION("REGEXEXTRACT(D60, "" (.*)"")"),"#N/A")</f>
        <v>#N/A</v>
      </c>
    </row>
    <row r="61">
      <c r="B61" s="1">
        <v>53.0</v>
      </c>
      <c r="C61" s="1" t="s">
        <v>183</v>
      </c>
      <c r="D61" s="4" t="str">
        <f>IFERROR(__xludf.DUMMYFUNCTION("REGEXEXTRACT(C61, ""\S* (.*)"")"),"GOOD FRIDAY - NO CLASS")</f>
        <v>GOOD FRIDAY - NO CLASS</v>
      </c>
      <c r="F61" s="4" t="str">
        <f>IFERROR(__xludf.DUMMYFUNCTION("REGEXEXTRACT(D61, ""([\d.]+)"")"),"#N/A")</f>
        <v>#N/A</v>
      </c>
      <c r="G61" s="4" t="str">
        <f>IFERROR(__xludf.DUMMYFUNCTION("REGEXEXTRACT(D61, "" (.*)"")"),"FRIDAY - NO CLASS")</f>
        <v>FRIDAY - NO CLASS</v>
      </c>
    </row>
    <row r="62">
      <c r="B62" s="1">
        <v>54.0</v>
      </c>
      <c r="C62" s="1" t="s">
        <v>125</v>
      </c>
      <c r="D62" s="4" t="str">
        <f>IFERROR(__xludf.DUMMYFUNCTION("REGEXEXTRACT(C62, ""\S* (.*)"")"),"13")</f>
        <v>13</v>
      </c>
      <c r="F62" s="4" t="str">
        <f>IFERROR(__xludf.DUMMYFUNCTION("REGEXEXTRACT(D62, ""([\d.]+)"")"),"13")</f>
        <v>13</v>
      </c>
      <c r="G62" s="4" t="str">
        <f>IFERROR(__xludf.DUMMYFUNCTION("REGEXEXTRACT(D62, "" (.*)"")"),"#N/A")</f>
        <v>#N/A</v>
      </c>
    </row>
    <row r="63">
      <c r="B63" s="1">
        <v>58.0</v>
      </c>
      <c r="C63" s="1" t="s">
        <v>128</v>
      </c>
      <c r="D63" s="4" t="str">
        <f>IFERROR(__xludf.DUMMYFUNCTION("REGEXEXTRACT(C63, ""\S* (.*)"")"),"14")</f>
        <v>14</v>
      </c>
      <c r="F63" s="4" t="str">
        <f>IFERROR(__xludf.DUMMYFUNCTION("REGEXEXTRACT(D63, ""([\d.]+)"")"),"14")</f>
        <v>14</v>
      </c>
      <c r="G63" s="4" t="str">
        <f>IFERROR(__xludf.DUMMYFUNCTION("REGEXEXTRACT(D63, "" (.*)"")"),"#N/A")</f>
        <v>#N/A</v>
      </c>
    </row>
    <row r="64">
      <c r="B64" s="1">
        <v>62.0</v>
      </c>
      <c r="C64" s="1" t="s">
        <v>132</v>
      </c>
      <c r="D64" s="4" t="str">
        <f>IFERROR(__xludf.DUMMYFUNCTION("REGEXEXTRACT(C64, ""\S* (.*)"")"),"15")</f>
        <v>15</v>
      </c>
      <c r="F64" s="4" t="str">
        <f>IFERROR(__xludf.DUMMYFUNCTION("REGEXEXTRACT(D64, ""([\d.]+)"")"),"15")</f>
        <v>15</v>
      </c>
      <c r="G64" s="4" t="str">
        <f>IFERROR(__xludf.DUMMYFUNCTION("REGEXEXTRACT(D64, "" (.*)"")"),"#N/A")</f>
        <v>#N/A</v>
      </c>
    </row>
    <row r="65">
      <c r="F65" s="4" t="str">
        <f>IFERROR(__xludf.DUMMYFUNCTION("REGEXEXTRACT(D65, ""([\d.]+)"")"),"#N/A")</f>
        <v>#N/A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63"/>
    <col customWidth="1" min="3" max="3" width="18.38"/>
  </cols>
  <sheetData>
    <row r="1">
      <c r="B1" s="1" t="s">
        <v>66</v>
      </c>
      <c r="C1" s="1" t="s">
        <v>86</v>
      </c>
    </row>
    <row r="2">
      <c r="B2" s="2">
        <v>45173.0</v>
      </c>
      <c r="C2" s="4">
        <f t="shared" ref="C2:C65" si="1">WEEKDAY(B2)</f>
        <v>2</v>
      </c>
    </row>
    <row r="3">
      <c r="B3" s="2">
        <v>45180.0</v>
      </c>
      <c r="C3" s="4">
        <f t="shared" si="1"/>
        <v>2</v>
      </c>
    </row>
    <row r="4">
      <c r="B4" s="2">
        <v>45187.0</v>
      </c>
      <c r="C4" s="4">
        <f t="shared" si="1"/>
        <v>2</v>
      </c>
    </row>
    <row r="5">
      <c r="B5" s="2">
        <v>45194.0</v>
      </c>
      <c r="C5" s="4">
        <f t="shared" si="1"/>
        <v>2</v>
      </c>
    </row>
    <row r="6">
      <c r="B6" s="2">
        <v>45201.0</v>
      </c>
      <c r="C6" s="4">
        <f t="shared" si="1"/>
        <v>2</v>
      </c>
    </row>
    <row r="7">
      <c r="B7" s="2">
        <v>45208.0</v>
      </c>
      <c r="C7" s="4">
        <f t="shared" si="1"/>
        <v>2</v>
      </c>
    </row>
    <row r="8">
      <c r="B8" s="2">
        <v>45215.0</v>
      </c>
      <c r="C8" s="4">
        <f t="shared" si="1"/>
        <v>2</v>
      </c>
    </row>
    <row r="9">
      <c r="B9" s="2">
        <v>45222.0</v>
      </c>
      <c r="C9" s="4">
        <f t="shared" si="1"/>
        <v>2</v>
      </c>
    </row>
    <row r="10">
      <c r="B10" s="2">
        <v>45229.0</v>
      </c>
      <c r="C10" s="4">
        <f t="shared" si="1"/>
        <v>2</v>
      </c>
    </row>
    <row r="11">
      <c r="B11" s="2">
        <v>45236.0</v>
      </c>
      <c r="C11" s="4">
        <f t="shared" si="1"/>
        <v>2</v>
      </c>
    </row>
    <row r="12">
      <c r="B12" s="2">
        <v>45243.0</v>
      </c>
      <c r="C12" s="4">
        <f t="shared" si="1"/>
        <v>2</v>
      </c>
    </row>
    <row r="13">
      <c r="B13" s="2">
        <v>45250.0</v>
      </c>
      <c r="C13" s="4">
        <f t="shared" si="1"/>
        <v>2</v>
      </c>
    </row>
    <row r="14">
      <c r="B14" s="2">
        <v>45257.0</v>
      </c>
      <c r="C14" s="4">
        <f t="shared" si="1"/>
        <v>2</v>
      </c>
    </row>
    <row r="15">
      <c r="B15" s="2">
        <v>45264.0</v>
      </c>
      <c r="C15" s="4">
        <f t="shared" si="1"/>
        <v>2</v>
      </c>
    </row>
    <row r="16">
      <c r="B16" s="2">
        <v>45271.0</v>
      </c>
      <c r="C16" s="4">
        <f t="shared" si="1"/>
        <v>2</v>
      </c>
    </row>
    <row r="17">
      <c r="B17" s="2">
        <v>45278.0</v>
      </c>
      <c r="C17" s="4">
        <f t="shared" si="1"/>
        <v>2</v>
      </c>
    </row>
    <row r="18">
      <c r="B18" s="2">
        <v>45175.0</v>
      </c>
      <c r="C18" s="4">
        <f t="shared" si="1"/>
        <v>4</v>
      </c>
    </row>
    <row r="19">
      <c r="B19" s="2">
        <v>45182.0</v>
      </c>
      <c r="C19" s="4">
        <f t="shared" si="1"/>
        <v>4</v>
      </c>
    </row>
    <row r="20">
      <c r="B20" s="2">
        <v>45189.0</v>
      </c>
      <c r="C20" s="4">
        <f t="shared" si="1"/>
        <v>4</v>
      </c>
    </row>
    <row r="21">
      <c r="B21" s="2">
        <v>45196.0</v>
      </c>
      <c r="C21" s="4">
        <f t="shared" si="1"/>
        <v>4</v>
      </c>
    </row>
    <row r="22">
      <c r="B22" s="2">
        <v>45203.0</v>
      </c>
      <c r="C22" s="4">
        <f t="shared" si="1"/>
        <v>4</v>
      </c>
    </row>
    <row r="23">
      <c r="B23" s="2">
        <v>45210.0</v>
      </c>
      <c r="C23" s="4">
        <f t="shared" si="1"/>
        <v>4</v>
      </c>
    </row>
    <row r="24">
      <c r="B24" s="2">
        <v>45217.0</v>
      </c>
      <c r="C24" s="4">
        <f t="shared" si="1"/>
        <v>4</v>
      </c>
    </row>
    <row r="25">
      <c r="B25" s="2">
        <v>45224.0</v>
      </c>
      <c r="C25" s="4">
        <f t="shared" si="1"/>
        <v>4</v>
      </c>
    </row>
    <row r="26">
      <c r="B26" s="2">
        <v>45231.0</v>
      </c>
      <c r="C26" s="4">
        <f t="shared" si="1"/>
        <v>4</v>
      </c>
    </row>
    <row r="27">
      <c r="B27" s="2">
        <v>45238.0</v>
      </c>
      <c r="C27" s="4">
        <f t="shared" si="1"/>
        <v>4</v>
      </c>
    </row>
    <row r="28">
      <c r="B28" s="2">
        <v>45245.0</v>
      </c>
      <c r="C28" s="4">
        <f t="shared" si="1"/>
        <v>4</v>
      </c>
    </row>
    <row r="29">
      <c r="B29" s="2">
        <v>45252.0</v>
      </c>
      <c r="C29" s="4">
        <f t="shared" si="1"/>
        <v>4</v>
      </c>
    </row>
    <row r="30">
      <c r="B30" s="2">
        <v>45259.0</v>
      </c>
      <c r="C30" s="4">
        <f t="shared" si="1"/>
        <v>4</v>
      </c>
    </row>
    <row r="31">
      <c r="B31" s="2">
        <v>45266.0</v>
      </c>
      <c r="C31" s="4">
        <f t="shared" si="1"/>
        <v>4</v>
      </c>
    </row>
    <row r="32">
      <c r="B32" s="2">
        <v>45273.0</v>
      </c>
      <c r="C32" s="4">
        <f t="shared" si="1"/>
        <v>4</v>
      </c>
    </row>
    <row r="33">
      <c r="B33" s="2">
        <v>45280.0</v>
      </c>
      <c r="C33" s="4">
        <f t="shared" si="1"/>
        <v>4</v>
      </c>
    </row>
    <row r="34">
      <c r="B34" s="2">
        <v>45176.0</v>
      </c>
      <c r="C34" s="4">
        <f t="shared" si="1"/>
        <v>5</v>
      </c>
    </row>
    <row r="35">
      <c r="B35" s="2">
        <v>45183.0</v>
      </c>
      <c r="C35" s="4">
        <f t="shared" si="1"/>
        <v>5</v>
      </c>
    </row>
    <row r="36">
      <c r="B36" s="2">
        <v>45190.0</v>
      </c>
      <c r="C36" s="4">
        <f t="shared" si="1"/>
        <v>5</v>
      </c>
    </row>
    <row r="37">
      <c r="B37" s="2">
        <v>45197.0</v>
      </c>
      <c r="C37" s="4">
        <f t="shared" si="1"/>
        <v>5</v>
      </c>
    </row>
    <row r="38">
      <c r="B38" s="2">
        <v>45204.0</v>
      </c>
      <c r="C38" s="4">
        <f t="shared" si="1"/>
        <v>5</v>
      </c>
    </row>
    <row r="39">
      <c r="B39" s="2">
        <v>45211.0</v>
      </c>
      <c r="C39" s="4">
        <f t="shared" si="1"/>
        <v>5</v>
      </c>
    </row>
    <row r="40">
      <c r="B40" s="2">
        <v>45218.0</v>
      </c>
      <c r="C40" s="4">
        <f t="shared" si="1"/>
        <v>5</v>
      </c>
    </row>
    <row r="41">
      <c r="B41" s="2">
        <v>45225.0</v>
      </c>
      <c r="C41" s="4">
        <f t="shared" si="1"/>
        <v>5</v>
      </c>
    </row>
    <row r="42">
      <c r="B42" s="2">
        <v>45232.0</v>
      </c>
      <c r="C42" s="4">
        <f t="shared" si="1"/>
        <v>5</v>
      </c>
    </row>
    <row r="43">
      <c r="B43" s="2">
        <v>45239.0</v>
      </c>
      <c r="C43" s="4">
        <f t="shared" si="1"/>
        <v>5</v>
      </c>
    </row>
    <row r="44">
      <c r="B44" s="2">
        <v>45246.0</v>
      </c>
      <c r="C44" s="4">
        <f t="shared" si="1"/>
        <v>5</v>
      </c>
    </row>
    <row r="45">
      <c r="B45" s="2">
        <v>45253.0</v>
      </c>
      <c r="C45" s="4">
        <f t="shared" si="1"/>
        <v>5</v>
      </c>
    </row>
    <row r="46">
      <c r="B46" s="2">
        <v>45260.0</v>
      </c>
      <c r="C46" s="4">
        <f t="shared" si="1"/>
        <v>5</v>
      </c>
    </row>
    <row r="47">
      <c r="B47" s="2">
        <v>45267.0</v>
      </c>
      <c r="C47" s="4">
        <f t="shared" si="1"/>
        <v>5</v>
      </c>
    </row>
    <row r="48">
      <c r="B48" s="2">
        <v>45274.0</v>
      </c>
      <c r="C48" s="4">
        <f t="shared" si="1"/>
        <v>5</v>
      </c>
    </row>
    <row r="49">
      <c r="B49" s="2">
        <v>45281.0</v>
      </c>
      <c r="C49" s="4">
        <f t="shared" si="1"/>
        <v>5</v>
      </c>
    </row>
    <row r="50">
      <c r="B50" s="2">
        <v>45177.0</v>
      </c>
      <c r="C50" s="4">
        <f t="shared" si="1"/>
        <v>6</v>
      </c>
    </row>
    <row r="51">
      <c r="B51" s="2">
        <v>45184.0</v>
      </c>
      <c r="C51" s="4">
        <f t="shared" si="1"/>
        <v>6</v>
      </c>
    </row>
    <row r="52">
      <c r="B52" s="2">
        <v>45191.0</v>
      </c>
      <c r="C52" s="4">
        <f t="shared" si="1"/>
        <v>6</v>
      </c>
    </row>
    <row r="53">
      <c r="B53" s="2">
        <v>45198.0</v>
      </c>
      <c r="C53" s="4">
        <f t="shared" si="1"/>
        <v>6</v>
      </c>
    </row>
    <row r="54">
      <c r="B54" s="2">
        <v>45205.0</v>
      </c>
      <c r="C54" s="4">
        <f t="shared" si="1"/>
        <v>6</v>
      </c>
    </row>
    <row r="55">
      <c r="B55" s="2">
        <v>45212.0</v>
      </c>
      <c r="C55" s="4">
        <f t="shared" si="1"/>
        <v>6</v>
      </c>
    </row>
    <row r="56">
      <c r="B56" s="2">
        <v>45219.0</v>
      </c>
      <c r="C56" s="4">
        <f t="shared" si="1"/>
        <v>6</v>
      </c>
    </row>
    <row r="57">
      <c r="B57" s="2">
        <v>45226.0</v>
      </c>
      <c r="C57" s="4">
        <f t="shared" si="1"/>
        <v>6</v>
      </c>
    </row>
    <row r="58">
      <c r="B58" s="2">
        <v>45233.0</v>
      </c>
      <c r="C58" s="4">
        <f t="shared" si="1"/>
        <v>6</v>
      </c>
    </row>
    <row r="59">
      <c r="B59" s="2">
        <v>45240.0</v>
      </c>
      <c r="C59" s="4">
        <f t="shared" si="1"/>
        <v>6</v>
      </c>
    </row>
    <row r="60">
      <c r="B60" s="2">
        <v>45247.0</v>
      </c>
      <c r="C60" s="4">
        <f t="shared" si="1"/>
        <v>6</v>
      </c>
    </row>
    <row r="61">
      <c r="B61" s="2">
        <v>45254.0</v>
      </c>
      <c r="C61" s="4">
        <f t="shared" si="1"/>
        <v>6</v>
      </c>
    </row>
    <row r="62">
      <c r="B62" s="2">
        <v>45261.0</v>
      </c>
      <c r="C62" s="4">
        <f t="shared" si="1"/>
        <v>6</v>
      </c>
    </row>
    <row r="63">
      <c r="B63" s="2">
        <v>45268.0</v>
      </c>
      <c r="C63" s="4">
        <f t="shared" si="1"/>
        <v>6</v>
      </c>
    </row>
    <row r="64">
      <c r="B64" s="2">
        <v>45275.0</v>
      </c>
      <c r="C64" s="4">
        <f t="shared" si="1"/>
        <v>6</v>
      </c>
    </row>
    <row r="65">
      <c r="B65" s="2">
        <v>45282.0</v>
      </c>
      <c r="C65" s="4">
        <f t="shared" si="1"/>
        <v>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1.63"/>
    <col customWidth="1" min="2" max="2" width="29.63"/>
  </cols>
  <sheetData>
    <row r="1">
      <c r="A1" s="22" t="s">
        <v>184</v>
      </c>
      <c r="B1" s="2"/>
    </row>
    <row r="2">
      <c r="A2" s="2" t="s">
        <v>185</v>
      </c>
      <c r="B2" s="2"/>
    </row>
    <row r="3">
      <c r="A3" s="3" t="s">
        <v>66</v>
      </c>
    </row>
    <row r="4">
      <c r="A4" s="2">
        <v>45163.0</v>
      </c>
      <c r="B4" s="3" t="s">
        <v>4</v>
      </c>
    </row>
    <row r="5">
      <c r="A5" s="2">
        <v>45165.0</v>
      </c>
      <c r="B5" s="3" t="s">
        <v>5</v>
      </c>
    </row>
    <row r="6">
      <c r="A6" s="2">
        <v>45166.0</v>
      </c>
      <c r="B6" s="3" t="s">
        <v>6</v>
      </c>
    </row>
    <row r="7">
      <c r="A7" s="2">
        <v>45167.0</v>
      </c>
      <c r="B7" s="3" t="s">
        <v>7</v>
      </c>
    </row>
    <row r="8">
      <c r="A8" s="2">
        <v>45168.0</v>
      </c>
      <c r="B8" s="3" t="s">
        <v>8</v>
      </c>
    </row>
    <row r="9">
      <c r="A9" s="2">
        <v>45173.0</v>
      </c>
      <c r="B9" s="3" t="s">
        <v>10</v>
      </c>
    </row>
    <row r="10">
      <c r="A10" s="2">
        <v>45173.0</v>
      </c>
      <c r="B10" s="3" t="s">
        <v>11</v>
      </c>
    </row>
    <row r="11">
      <c r="A11" s="2">
        <v>45213.0</v>
      </c>
      <c r="B11" s="3" t="s">
        <v>31</v>
      </c>
    </row>
    <row r="12">
      <c r="A12" s="2">
        <v>45212.0</v>
      </c>
      <c r="B12" s="3" t="s">
        <v>186</v>
      </c>
    </row>
    <row r="13">
      <c r="A13" s="2">
        <v>45217.0</v>
      </c>
      <c r="B13" s="3" t="s">
        <v>35</v>
      </c>
    </row>
    <row r="14">
      <c r="A14" s="2">
        <v>45218.0</v>
      </c>
      <c r="B14" s="3" t="s">
        <v>36</v>
      </c>
    </row>
    <row r="15">
      <c r="A15" s="2">
        <v>45219.0</v>
      </c>
      <c r="B15" s="3" t="s">
        <v>36</v>
      </c>
    </row>
    <row r="16">
      <c r="A16" s="2">
        <v>45236.0</v>
      </c>
      <c r="B16" s="3" t="s">
        <v>44</v>
      </c>
    </row>
    <row r="17">
      <c r="A17" s="2">
        <v>45252.0</v>
      </c>
      <c r="B17" s="3" t="s">
        <v>53</v>
      </c>
    </row>
    <row r="18">
      <c r="A18" s="2">
        <v>45253.0</v>
      </c>
      <c r="B18" s="3" t="s">
        <v>53</v>
      </c>
    </row>
    <row r="19">
      <c r="A19" s="2">
        <v>45254.0</v>
      </c>
      <c r="B19" s="3" t="s">
        <v>53</v>
      </c>
    </row>
    <row r="20">
      <c r="A20" s="2">
        <v>45267.0</v>
      </c>
      <c r="B20" s="3" t="s">
        <v>59</v>
      </c>
    </row>
    <row r="21">
      <c r="A21" s="2">
        <v>45268.0</v>
      </c>
      <c r="B21" s="3" t="s">
        <v>60</v>
      </c>
    </row>
    <row r="22">
      <c r="A22" s="6">
        <v>45271.0</v>
      </c>
      <c r="B22" s="3" t="s">
        <v>61</v>
      </c>
    </row>
    <row r="23">
      <c r="A23" s="6">
        <v>45272.0</v>
      </c>
      <c r="B23" s="3" t="s">
        <v>61</v>
      </c>
    </row>
    <row r="24">
      <c r="A24" s="6">
        <v>45273.0</v>
      </c>
      <c r="B24" s="3" t="s">
        <v>61</v>
      </c>
    </row>
    <row r="25">
      <c r="A25" s="6">
        <v>45274.0</v>
      </c>
      <c r="B25" s="3" t="s">
        <v>61</v>
      </c>
    </row>
    <row r="26">
      <c r="A26" s="2">
        <v>45275.0</v>
      </c>
      <c r="B26" s="3" t="s">
        <v>63</v>
      </c>
    </row>
    <row r="27">
      <c r="A27" s="2">
        <v>45275.0</v>
      </c>
      <c r="B27" s="3" t="s">
        <v>64</v>
      </c>
    </row>
    <row r="28">
      <c r="A28" s="2">
        <v>45278.0</v>
      </c>
      <c r="B28" s="3" t="s">
        <v>65</v>
      </c>
    </row>
    <row r="29">
      <c r="A29" s="2"/>
    </row>
  </sheetData>
  <hyperlinks>
    <hyperlink r:id="rId1" ref="A1"/>
  </hyperlinks>
  <drawing r:id="rId2"/>
</worksheet>
</file>